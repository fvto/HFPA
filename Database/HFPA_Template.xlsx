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00" tabRatio="600" firstSheet="0" activeTab="0" autoFilterDateGrouping="1"/>
  </bookViews>
  <sheets>
    <sheet xmlns:r="http://schemas.openxmlformats.org/officeDocument/2006/relationships" name="HFPA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_ * #,##0_ ;_ * \-#,##0_ ;_ * &quot;-&quot;_ ;_ @_ "/>
  </numFmts>
  <fonts count="45">
    <font>
      <name val="新細明體"/>
      <charset val="134"/>
      <color theme="1"/>
      <sz val="12"/>
    </font>
    <font>
      <name val="Century Gothic"/>
      <charset val="134"/>
      <color theme="1"/>
      <sz val="12"/>
    </font>
    <font>
      <name val="Calibri"/>
      <charset val="134"/>
      <color theme="1"/>
      <sz val="12"/>
      <scheme val="minor"/>
    </font>
    <font>
      <name val="Century Gothic"/>
      <charset val="134"/>
      <b val="1"/>
      <color theme="1"/>
      <sz val="12"/>
    </font>
    <font>
      <name val="Calibri"/>
      <charset val="134"/>
      <b val="1"/>
      <sz val="11"/>
    </font>
    <font>
      <name val="Century Gothic"/>
      <charset val="134"/>
      <b val="1"/>
      <color theme="1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sz val="11"/>
    </font>
    <font>
      <name val="SimSun"/>
      <charset val="134"/>
      <sz val="10"/>
    </font>
    <font>
      <name val="Calibri"/>
      <b val="1"/>
      <sz val="11"/>
    </font>
    <font>
      <name val="Century Gothic"/>
      <b val="1"/>
      <color rgb="001F4E78"/>
      <sz val="11"/>
    </font>
    <font>
      <name val="Century Gothic"/>
      <b val="1"/>
      <sz val="11"/>
    </font>
    <font>
      <name val="Century Gothic"/>
      <sz val="11"/>
    </font>
    <font>
      <name val="Century Gothic"/>
      <b val="1"/>
      <color rgb="001F4E78"/>
      <sz val="10"/>
    </font>
    <font>
      <name val="Century Gothic"/>
      <b val="1"/>
      <color rgb="00000000"/>
      <sz val="10"/>
    </font>
    <font>
      <name val="Century Gothic"/>
      <color rgb="00000000"/>
      <sz val="10"/>
    </font>
    <font>
      <name val="Calibri"/>
      <b val="1"/>
      <color rgb="00FFFFFF"/>
      <sz val="10"/>
    </font>
    <font>
      <name val="Calibri"/>
      <color rgb="00000000"/>
      <sz val="9.5"/>
    </font>
    <font>
      <name val="Calibri"/>
      <charset val="134"/>
      <b val="1"/>
      <color theme="1"/>
      <sz val="22"/>
      <scheme val="minor"/>
    </font>
    <font>
      <name val="Times New Roman"/>
      <charset val="134"/>
      <color theme="1"/>
      <sz val="15"/>
    </font>
    <font>
      <name val="Calibri"/>
      <charset val="134"/>
      <b val="1"/>
      <color theme="1"/>
      <sz val="16"/>
      <scheme val="minor"/>
    </font>
    <font>
      <name val="Calibri"/>
      <charset val="134"/>
      <color theme="1"/>
      <sz val="14"/>
      <scheme val="minor"/>
    </font>
    <font>
      <name val="Calibri"/>
      <charset val="134"/>
      <color rgb="FFFF0000"/>
      <sz val="11"/>
      <scheme val="minor"/>
    </font>
    <font>
      <name val="Segoe UI"/>
      <charset val="134"/>
      <color theme="1"/>
      <sz val="11.25"/>
    </font>
    <font>
      <name val="Calibri"/>
      <charset val="134"/>
      <i val="1"/>
      <color theme="1"/>
      <sz val="14"/>
      <scheme val="minor"/>
    </font>
    <font>
      <name val="Calibri"/>
      <charset val="134"/>
      <color theme="0"/>
      <sz val="11"/>
      <scheme val="minor"/>
    </font>
  </fonts>
  <fills count="122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00D9E1F2"/>
        <bgColor rgb="00D9E1F2"/>
      </patternFill>
    </fill>
    <fill>
      <patternFill patternType="solid">
        <fgColor rgb="00F2F5F9"/>
        <bgColor rgb="00F2F5F9"/>
      </patternFill>
    </fill>
    <fill>
      <patternFill patternType="solid">
        <fgColor rgb="00E9EEF4"/>
        <bgColor rgb="00E9EEF4"/>
      </patternFill>
    </fill>
    <fill>
      <patternFill patternType="solid">
        <fgColor rgb="00F2F4F8"/>
        <bgColor rgb="00F2F4F8"/>
      </patternFill>
    </fill>
    <fill>
      <patternFill patternType="solid">
        <fgColor rgb="00F4F6F9"/>
        <bgColor rgb="00F4F6F9"/>
      </patternFill>
    </fill>
    <fill>
      <patternFill patternType="solid">
        <fgColor rgb="001F4E78"/>
        <bgColor rgb="001F4E78"/>
      </patternFill>
    </fill>
    <fill>
      <patternFill patternType="solid">
        <fgColor rgb="0010253F"/>
        <bgColor rgb="0010253F"/>
      </patternFill>
    </fill>
    <fill>
      <patternFill patternType="solid">
        <fgColor rgb="004F6228"/>
        <bgColor rgb="004F6228"/>
      </patternFill>
    </fill>
    <fill>
      <patternFill patternType="solid">
        <fgColor rgb="00AC5C95"/>
        <bgColor rgb="00AC5C95"/>
      </patternFill>
    </fill>
    <fill>
      <patternFill patternType="solid">
        <fgColor rgb="00EAD700"/>
        <bgColor rgb="00EAD700"/>
      </patternFill>
    </fill>
    <fill>
      <patternFill patternType="solid">
        <fgColor rgb="00F79646"/>
        <bgColor rgb="00F79646"/>
      </patternFill>
    </fill>
    <fill>
      <patternFill patternType="solid">
        <fgColor rgb="004F7FBD"/>
        <bgColor rgb="004F7FBD"/>
      </patternFill>
    </fill>
    <fill>
      <patternFill patternType="solid">
        <fgColor rgb="00C3D4EF"/>
        <bgColor rgb="00C3D4EF"/>
      </patternFill>
    </fill>
    <fill>
      <patternFill patternType="solid">
        <fgColor rgb="00953735"/>
        <bgColor rgb="00953735"/>
      </patternFill>
    </fill>
    <fill>
      <patternFill patternType="solid">
        <fgColor rgb="00403152"/>
        <bgColor rgb="00403152"/>
      </patternFill>
    </fill>
    <fill>
      <patternFill patternType="solid">
        <fgColor theme="0"/>
        <bgColor indexed="64"/>
      </patternFill>
    </fill>
    <fill>
      <patternFill patternType="solid">
        <fgColor rgb="FF016A7D"/>
        <bgColor indexed="64"/>
      </patternFill>
    </fill>
    <fill>
      <patternFill patternType="solid">
        <fgColor rgb="FF59E4B4"/>
        <bgColor indexed="64"/>
      </patternFill>
    </fill>
    <fill>
      <patternFill patternType="solid">
        <fgColor rgb="FFFB5F63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770BE1"/>
        <bgColor indexed="64"/>
      </patternFill>
    </fill>
    <fill>
      <patternFill patternType="solid">
        <fgColor rgb="FFFFD967"/>
        <bgColor indexed="64"/>
      </patternFill>
    </fill>
    <fill>
      <patternFill patternType="solid">
        <fgColor rgb="FF10253F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E9B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57A67B"/>
        <bgColor indexed="64"/>
      </patternFill>
    </fill>
    <fill>
      <patternFill patternType="solid">
        <fgColor rgb="FFAC5C95"/>
        <bgColor indexed="64"/>
      </patternFill>
    </fill>
    <fill>
      <patternFill patternType="solid">
        <fgColor rgb="FF9CB9D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187D3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3CE263"/>
        <bgColor indexed="64"/>
      </patternFill>
    </fill>
    <fill>
      <patternFill patternType="solid">
        <fgColor rgb="FF639E7A"/>
        <bgColor indexed="64"/>
      </patternFill>
    </fill>
    <fill>
      <patternFill patternType="solid">
        <fgColor rgb="FF336A4E"/>
        <bgColor indexed="64"/>
      </patternFill>
    </fill>
    <fill>
      <patternFill patternType="solid">
        <fgColor rgb="FFA8E29B"/>
        <bgColor indexed="64"/>
      </patternFill>
    </fill>
    <fill>
      <patternFill patternType="solid">
        <fgColor rgb="FF316CE5"/>
        <bgColor indexed="64"/>
      </patternFill>
    </fill>
    <fill>
      <patternFill patternType="solid">
        <fgColor rgb="FF2A48C8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500050"/>
        <bgColor indexed="64"/>
      </patternFill>
    </fill>
    <fill>
      <patternFill patternType="solid">
        <fgColor rgb="FFF5750B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BD892D"/>
        <bgColor indexed="64"/>
      </patternFill>
    </fill>
    <fill>
      <patternFill patternType="solid">
        <fgColor rgb="FF401BC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BFFFDC"/>
        <bgColor indexed="64"/>
      </patternFill>
    </fill>
    <fill>
      <patternFill patternType="solid">
        <fgColor rgb="FF953735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rgb="FFD2E1B5"/>
        <bgColor indexed="64"/>
      </patternFill>
    </fill>
    <fill>
      <patternFill patternType="solid">
        <fgColor rgb="FFEAD7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3D4EF"/>
        <bgColor indexed="64"/>
      </patternFill>
    </fill>
    <fill>
      <patternFill patternType="solid">
        <fgColor rgb="FFFFFAB7"/>
        <bgColor indexed="64"/>
      </patternFill>
    </fill>
    <fill>
      <patternFill patternType="solid">
        <fgColor rgb="FF4F7FBD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403152"/>
        <bgColor indexed="64"/>
      </patternFill>
    </fill>
    <fill>
      <patternFill patternType="solid">
        <fgColor rgb="FF80694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004E1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B9FE8B"/>
        <bgColor indexed="64"/>
      </patternFill>
    </fill>
    <fill>
      <patternFill patternType="solid">
        <fgColor rgb="FF0DBFE5"/>
        <bgColor indexed="64"/>
      </patternFill>
    </fill>
    <fill>
      <patternFill patternType="solid">
        <fgColor rgb="FFEEDCB4"/>
        <bgColor indexed="64"/>
      </patternFill>
    </fill>
    <fill>
      <patternFill patternType="solid">
        <fgColor rgb="FFE9C2C1"/>
        <bgColor indexed="64"/>
      </patternFill>
    </fill>
    <fill>
      <patternFill patternType="solid">
        <fgColor rgb="FFB46AC8"/>
        <bgColor indexed="64"/>
      </patternFill>
    </fill>
    <fill>
      <patternFill patternType="solid">
        <fgColor rgb="FF2392DD"/>
        <bgColor indexed="64"/>
      </patternFill>
    </fill>
    <fill>
      <patternFill patternType="solid">
        <fgColor rgb="FFFF7D37"/>
        <bgColor indexed="64"/>
      </patternFill>
    </fill>
    <fill>
      <patternFill patternType="solid">
        <fgColor rgb="FF74956B"/>
        <bgColor indexed="64"/>
      </patternFill>
    </fill>
    <fill>
      <patternFill patternType="solid">
        <fgColor rgb="FFC8F5C3"/>
        <bgColor indexed="64"/>
      </patternFill>
    </fill>
    <fill>
      <patternFill patternType="solid">
        <fgColor rgb="FFDCE678"/>
        <bgColor indexed="64"/>
      </patternFill>
    </fill>
    <fill>
      <patternFill patternType="solid">
        <fgColor rgb="FFCC706E"/>
        <bgColor indexed="64"/>
      </patternFill>
    </fill>
    <fill>
      <patternFill patternType="solid">
        <fgColor rgb="FFBDE5FB"/>
        <bgColor indexed="64"/>
      </patternFill>
    </fill>
    <fill>
      <patternFill patternType="solid">
        <fgColor rgb="FF4B0690"/>
        <bgColor indexed="64"/>
      </patternFill>
    </fill>
    <fill>
      <patternFill patternType="solid">
        <fgColor rgb="FFFFC80A"/>
        <bgColor indexed="64"/>
      </patternFill>
    </fill>
    <fill>
      <patternFill patternType="solid">
        <fgColor rgb="FF56A7E4"/>
        <bgColor indexed="64"/>
      </patternFill>
    </fill>
    <fill>
      <patternFill patternType="solid">
        <fgColor rgb="FFFFB781"/>
        <bgColor indexed="64"/>
      </patternFill>
    </fill>
    <fill>
      <patternFill patternType="solid">
        <fgColor rgb="FF9B465A"/>
        <bgColor indexed="64"/>
      </patternFill>
    </fill>
    <fill>
      <patternFill patternType="solid">
        <fgColor rgb="FF3C5A9B"/>
        <bgColor indexed="64"/>
      </patternFill>
    </fill>
    <fill>
      <patternFill patternType="solid">
        <fgColor rgb="00D99694"/>
        <bgColor rgb="00D99694"/>
      </patternFill>
    </fill>
    <fill>
      <patternFill patternType="solid">
        <fgColor rgb="0059E4B4"/>
        <bgColor rgb="0059E4B4"/>
      </patternFill>
    </fill>
    <fill>
      <patternFill patternType="solid">
        <fgColor rgb="00336A4E"/>
        <bgColor rgb="00336A4E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000000"/>
      </top>
      <bottom style="double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/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medium">
        <color rgb="001F4E78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000000"/>
      </top>
      <bottom style="double">
        <color rgb="00000000"/>
      </bottom>
    </border>
    <border>
      <left style="thin">
        <color rgb="00BFBFBF"/>
      </left>
      <right style="medium">
        <color rgb="001F4E78"/>
      </right>
      <top style="thin">
        <color rgb="00000000"/>
      </top>
      <bottom style="double">
        <color rgb="00000000"/>
      </bottom>
    </border>
    <border>
      <left style="medium">
        <color rgb="001F4E78"/>
      </left>
      <right style="thin">
        <color rgb="00BFBFBF"/>
      </right>
      <top style="thin">
        <color rgb="00BFBFBF"/>
      </top>
    </border>
    <border>
      <left style="medium">
        <color rgb="001F4E78"/>
      </left>
      <right style="thin">
        <color rgb="00BFBFBF"/>
      </right>
    </border>
    <border>
      <left style="medium">
        <color rgb="001F4E78"/>
      </left>
      <right style="thin">
        <color rgb="00BFBFBF"/>
      </right>
      <bottom style="medium">
        <color rgb="001F4E78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medium">
        <color rgb="001F4E78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medium">
        <color rgb="001F4E78"/>
      </left>
      <right/>
      <top/>
      <bottom/>
      <diagonal/>
    </border>
    <border>
      <left style="medium">
        <color rgb="001F4E78"/>
      </left>
      <right style="thin">
        <color rgb="00BFBFBF"/>
      </right>
      <top/>
      <bottom/>
      <diagonal/>
    </border>
    <border>
      <left style="medium">
        <color rgb="001F4E78"/>
      </left>
      <right style="thin">
        <color rgb="00BFBFBF"/>
      </right>
      <top/>
      <bottom style="medium">
        <color rgb="001F4E78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50">
    <xf numFmtId="0" fontId="0" fillId="0" borderId="0"/>
    <xf numFmtId="0" fontId="10" fillId="9" borderId="0" applyAlignment="1">
      <alignment vertical="center"/>
    </xf>
    <xf numFmtId="43" fontId="0" fillId="0" borderId="0"/>
    <xf numFmtId="165" fontId="8" fillId="0" borderId="0" applyAlignment="1">
      <alignment vertical="center"/>
    </xf>
    <xf numFmtId="42" fontId="8" fillId="0" borderId="0" applyAlignment="1">
      <alignment vertical="center"/>
    </xf>
    <xf numFmtId="44" fontId="8" fillId="0" borderId="0" applyAlignment="1">
      <alignment vertical="center"/>
    </xf>
    <xf numFmtId="9" fontId="0" fillId="0" borderId="0"/>
    <xf numFmtId="0" fontId="6" fillId="0" borderId="0" applyAlignment="1">
      <alignment vertical="center"/>
    </xf>
    <xf numFmtId="0" fontId="9" fillId="13" borderId="0" applyAlignment="1">
      <alignment vertical="center"/>
    </xf>
    <xf numFmtId="0" fontId="12" fillId="0" borderId="0" applyAlignment="1">
      <alignment vertical="center"/>
    </xf>
    <xf numFmtId="0" fontId="13" fillId="14" borderId="7" applyAlignment="1">
      <alignment vertical="center"/>
    </xf>
    <xf numFmtId="0" fontId="14" fillId="0" borderId="8" applyAlignment="1">
      <alignment vertical="center"/>
    </xf>
    <xf numFmtId="0" fontId="8" fillId="8" borderId="5" applyAlignment="1">
      <alignment vertical="center"/>
    </xf>
    <xf numFmtId="0" fontId="10" fillId="17" borderId="0" applyAlignment="1">
      <alignment vertical="center"/>
    </xf>
    <xf numFmtId="0" fontId="15" fillId="0" borderId="0" applyAlignment="1">
      <alignment vertical="center"/>
    </xf>
    <xf numFmtId="0" fontId="10" fillId="16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19" fillId="0" borderId="0" applyAlignment="1">
      <alignment vertical="center"/>
    </xf>
    <xf numFmtId="0" fontId="11" fillId="11" borderId="6" applyAlignment="1">
      <alignment vertical="center"/>
    </xf>
    <xf numFmtId="0" fontId="9" fillId="7" borderId="0" applyAlignment="1">
      <alignment vertical="center"/>
    </xf>
    <xf numFmtId="0" fontId="21" fillId="22" borderId="0" applyAlignment="1">
      <alignment vertical="center"/>
    </xf>
    <xf numFmtId="0" fontId="7" fillId="4" borderId="4" applyAlignment="1">
      <alignment vertical="center"/>
    </xf>
    <xf numFmtId="0" fontId="10" fillId="25" borderId="0" applyAlignment="1">
      <alignment vertical="center"/>
    </xf>
    <xf numFmtId="0" fontId="22" fillId="4" borderId="6" applyAlignment="1">
      <alignment vertical="center"/>
    </xf>
    <xf numFmtId="0" fontId="23" fillId="0" borderId="10" applyAlignment="1">
      <alignment vertical="center"/>
    </xf>
    <xf numFmtId="0" fontId="25" fillId="0" borderId="11" applyAlignment="1">
      <alignment vertical="center"/>
    </xf>
    <xf numFmtId="0" fontId="24" fillId="26" borderId="0" applyAlignment="1">
      <alignment vertical="center"/>
    </xf>
    <xf numFmtId="0" fontId="20" fillId="21" borderId="0" applyAlignment="1">
      <alignment vertical="center"/>
    </xf>
    <xf numFmtId="0" fontId="9" fillId="10" borderId="0" applyAlignment="1">
      <alignment vertical="center"/>
    </xf>
    <xf numFmtId="0" fontId="26" fillId="0" borderId="0"/>
    <xf numFmtId="0" fontId="10" fillId="31" borderId="0" applyAlignment="1">
      <alignment vertical="center"/>
    </xf>
    <xf numFmtId="0" fontId="9" fillId="30" borderId="0" applyAlignment="1">
      <alignment vertical="center"/>
    </xf>
    <xf numFmtId="0" fontId="9" fillId="32" borderId="0" applyAlignment="1">
      <alignment vertical="center"/>
    </xf>
    <xf numFmtId="0" fontId="10" fillId="6" borderId="0" applyAlignment="1">
      <alignment vertical="center"/>
    </xf>
    <xf numFmtId="0" fontId="10" fillId="29" borderId="0" applyAlignment="1">
      <alignment vertical="center"/>
    </xf>
    <xf numFmtId="0" fontId="9" fillId="20" borderId="0" applyAlignment="1">
      <alignment vertical="center"/>
    </xf>
    <xf numFmtId="0" fontId="9" fillId="5" borderId="0" applyAlignment="1">
      <alignment vertical="center"/>
    </xf>
    <xf numFmtId="0" fontId="10" fillId="28" borderId="0" applyAlignment="1">
      <alignment vertical="center"/>
    </xf>
    <xf numFmtId="0" fontId="9" fillId="34" borderId="0" applyAlignment="1">
      <alignment vertical="center"/>
    </xf>
    <xf numFmtId="0" fontId="10" fillId="24" borderId="0" applyAlignment="1">
      <alignment vertical="center"/>
    </xf>
    <xf numFmtId="0" fontId="10" fillId="19" borderId="0" applyAlignment="1">
      <alignment vertical="center"/>
    </xf>
    <xf numFmtId="0" fontId="9" fillId="18" borderId="0" applyAlignment="1">
      <alignment vertical="center"/>
    </xf>
    <xf numFmtId="0" fontId="10" fillId="33" borderId="0" applyAlignment="1">
      <alignment vertical="center"/>
    </xf>
    <xf numFmtId="0" fontId="9" fillId="12" borderId="0" applyAlignment="1">
      <alignment vertical="center"/>
    </xf>
    <xf numFmtId="0" fontId="9" fillId="27" borderId="0" applyAlignment="1">
      <alignment vertical="center"/>
    </xf>
    <xf numFmtId="0" fontId="10" fillId="15" borderId="0" applyAlignment="1">
      <alignment vertical="center"/>
    </xf>
    <xf numFmtId="0" fontId="9" fillId="23" borderId="0" applyAlignment="1">
      <alignment vertical="center"/>
    </xf>
  </cellStyleXfs>
  <cellXfs count="257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3" fontId="2" fillId="0" borderId="1" pivotButton="0" quotePrefix="0" xfId="0"/>
    <xf numFmtId="3" fontId="2" fillId="0" borderId="0" pivotButton="0" quotePrefix="0" xfId="0"/>
    <xf numFmtId="0" fontId="1" fillId="2" borderId="1" pivotButton="0" quotePrefix="0" xfId="0"/>
    <xf numFmtId="10" fontId="1" fillId="0" borderId="1" pivotButton="0" quotePrefix="0" xfId="6"/>
    <xf numFmtId="10" fontId="1" fillId="0" borderId="0" applyAlignment="1" pivotButton="0" quotePrefix="0" xfId="6">
      <alignment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3" fontId="1" fillId="0" borderId="1" pivotButton="0" quotePrefix="0" xfId="0"/>
    <xf numFmtId="10" fontId="1" fillId="0" borderId="1" applyAlignment="1" pivotButton="0" quotePrefix="0" xfId="0">
      <alignment horizontal="right"/>
    </xf>
    <xf numFmtId="9" fontId="1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0" fontId="1" fillId="0" borderId="0" pivotButton="0" quotePrefix="0" xfId="6"/>
    <xf numFmtId="164" fontId="1" fillId="0" borderId="1" pivotButton="0" quotePrefix="0" xfId="6"/>
    <xf numFmtId="0" fontId="1" fillId="0" borderId="0" applyAlignment="1" pivotButton="0" quotePrefix="0" xfId="0">
      <alignment vertical="center"/>
    </xf>
    <xf numFmtId="0" fontId="3" fillId="0" borderId="1" applyAlignment="1" pivotButton="0" quotePrefix="0" xfId="32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0" fillId="0" borderId="1" applyAlignment="1" pivotButton="0" quotePrefix="0" xfId="6">
      <alignment horizontal="right"/>
    </xf>
    <xf numFmtId="10" fontId="0" fillId="0" borderId="1" pivotButton="0" quotePrefix="0" xfId="6"/>
    <xf numFmtId="10" fontId="0" fillId="0" borderId="0" pivotButton="0" quotePrefix="0" xfId="6"/>
    <xf numFmtId="10" fontId="4" fillId="0" borderId="1" applyAlignment="1" pivotButton="0" quotePrefix="0" xfId="0">
      <alignment horizontal="right"/>
    </xf>
    <xf numFmtId="0" fontId="1" fillId="0" borderId="2" applyAlignment="1" pivotButton="0" quotePrefix="0" xfId="32">
      <alignment vertical="center"/>
    </xf>
    <xf numFmtId="10" fontId="0" fillId="0" borderId="0" applyAlignment="1" pivotButton="0" quotePrefix="0" xfId="6">
      <alignment horizontal="right"/>
    </xf>
    <xf numFmtId="10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1" fillId="0" borderId="3" pivotButton="0" quotePrefix="0" xfId="0"/>
    <xf numFmtId="0" fontId="1" fillId="3" borderId="0" pivotButton="0" quotePrefix="0" xfId="0"/>
    <xf numFmtId="49" fontId="1" fillId="0" borderId="0" pivotButton="0" quotePrefix="0" xfId="0"/>
    <xf numFmtId="164" fontId="1" fillId="0" borderId="1" pivotButton="0" quotePrefix="0" xfId="6"/>
    <xf numFmtId="0" fontId="28" fillId="0" borderId="1" applyAlignment="1" pivotButton="0" quotePrefix="0" xfId="32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3" fontId="1" fillId="0" borderId="1" applyAlignment="1" pivotButton="0" quotePrefix="0" xfId="0">
      <alignment horizontal="right" vertical="center"/>
    </xf>
    <xf numFmtId="10" fontId="1" fillId="0" borderId="1" applyAlignment="1" pivotButton="0" quotePrefix="0" xfId="0">
      <alignment horizontal="right" vertical="center"/>
    </xf>
    <xf numFmtId="10" fontId="0" fillId="0" borderId="1" applyAlignment="1" pivotButton="0" quotePrefix="0" xfId="6">
      <alignment horizontal="right" vertical="center"/>
    </xf>
    <xf numFmtId="0" fontId="28" fillId="0" borderId="0" pivotButton="0" quotePrefix="0" xfId="0"/>
    <xf numFmtId="10" fontId="28" fillId="0" borderId="0" applyAlignment="1" pivotButton="0" quotePrefix="0" xfId="6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0" fontId="0" fillId="0" borderId="0" applyAlignment="1" pivotButton="0" quotePrefix="0" xfId="6">
      <alignment horizontal="right" vertical="center"/>
    </xf>
    <xf numFmtId="0" fontId="28" fillId="0" borderId="1" applyAlignment="1" pivotButton="0" quotePrefix="0" xfId="0">
      <alignment horizontal="left" vertical="center"/>
    </xf>
    <xf numFmtId="10" fontId="28" fillId="0" borderId="1" applyAlignment="1" pivotButton="0" quotePrefix="0" xfId="0">
      <alignment horizontal="center" vertical="center"/>
    </xf>
    <xf numFmtId="0" fontId="28" fillId="0" borderId="1" pivotButton="0" quotePrefix="0" xfId="0"/>
    <xf numFmtId="0" fontId="28" fillId="0" borderId="0" applyAlignment="1" pivotButton="0" quotePrefix="0" xfId="0">
      <alignment vertical="center"/>
    </xf>
    <xf numFmtId="10" fontId="28" fillId="0" borderId="1" applyAlignment="1" pivotButton="0" quotePrefix="0" xfId="0">
      <alignment horizontal="right" vertical="center"/>
    </xf>
    <xf numFmtId="10" fontId="28" fillId="0" borderId="1" applyAlignment="1" pivotButton="0" quotePrefix="0" xfId="6">
      <alignment horizontal="center" vertical="center"/>
    </xf>
    <xf numFmtId="0" fontId="28" fillId="0" borderId="2" applyAlignment="1" pivotButton="0" quotePrefix="0" xfId="32">
      <alignment horizontal="center" vertical="center"/>
    </xf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0">
      <alignment horizontal="right" vertical="center"/>
    </xf>
    <xf numFmtId="10" fontId="28" fillId="0" borderId="0" applyAlignment="1" pivotButton="0" quotePrefix="0" xfId="0">
      <alignment horizontal="right" vertical="center"/>
    </xf>
    <xf numFmtId="0" fontId="29" fillId="35" borderId="13" applyAlignment="1" pivotButton="0" quotePrefix="0" xfId="0">
      <alignment horizontal="left" vertical="center"/>
    </xf>
    <xf numFmtId="0" fontId="29" fillId="35" borderId="13" applyAlignment="1" pivotButton="0" quotePrefix="0" xfId="0">
      <alignment horizontal="center" vertical="center"/>
    </xf>
    <xf numFmtId="0" fontId="30" fillId="0" borderId="14" applyAlignment="1" pivotButton="0" quotePrefix="0" xfId="0">
      <alignment horizontal="center" vertical="center"/>
    </xf>
    <xf numFmtId="0" fontId="31" fillId="0" borderId="14" applyAlignment="1" pivotButton="0" quotePrefix="0" xfId="0">
      <alignment horizontal="left" vertical="center"/>
    </xf>
    <xf numFmtId="3" fontId="31" fillId="0" borderId="14" applyAlignment="1" pivotButton="0" quotePrefix="0" xfId="0">
      <alignment horizontal="right" vertical="center"/>
    </xf>
    <xf numFmtId="0" fontId="30" fillId="36" borderId="15" applyAlignment="1" pivotButton="0" quotePrefix="0" xfId="0">
      <alignment horizontal="center" vertical="center"/>
    </xf>
    <xf numFmtId="0" fontId="30" fillId="36" borderId="15" applyAlignment="1" pivotButton="0" quotePrefix="0" xfId="0">
      <alignment horizontal="left" vertical="center"/>
    </xf>
    <xf numFmtId="3" fontId="30" fillId="36" borderId="15" applyAlignment="1" pivotButton="0" quotePrefix="0" xfId="0">
      <alignment horizontal="right" vertical="center"/>
    </xf>
    <xf numFmtId="10" fontId="31" fillId="0" borderId="14" applyAlignment="1" pivotButton="0" quotePrefix="0" xfId="6">
      <alignment horizontal="right" vertical="center"/>
    </xf>
    <xf numFmtId="0" fontId="30" fillId="36" borderId="15" applyAlignment="1" pivotButton="0" quotePrefix="0" xfId="0">
      <alignment horizontal="right" vertical="center"/>
    </xf>
    <xf numFmtId="10" fontId="30" fillId="36" borderId="15" applyAlignment="1" pivotButton="0" quotePrefix="0" xfId="6">
      <alignment horizontal="right" vertical="center"/>
    </xf>
    <xf numFmtId="164" fontId="30" fillId="36" borderId="15" applyAlignment="1" pivotButton="0" quotePrefix="0" xfId="6">
      <alignment horizontal="right" vertical="center"/>
    </xf>
    <xf numFmtId="0" fontId="29" fillId="0" borderId="0" pivotButton="0" quotePrefix="0" xfId="0"/>
    <xf numFmtId="0" fontId="29" fillId="37" borderId="13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9" fillId="37" borderId="13" applyAlignment="1" pivotButton="0" quotePrefix="0" xfId="32">
      <alignment horizontal="center" vertical="center"/>
    </xf>
    <xf numFmtId="10" fontId="31" fillId="0" borderId="14" applyAlignment="1" pivotButton="0" quotePrefix="0" xfId="0">
      <alignment horizontal="right" vertical="center"/>
    </xf>
    <xf numFmtId="0" fontId="30" fillId="0" borderId="14" applyAlignment="1" pivotButton="0" quotePrefix="0" xfId="32">
      <alignment horizontal="center" vertical="center"/>
    </xf>
    <xf numFmtId="0" fontId="30" fillId="0" borderId="16" applyAlignment="1" pivotButton="0" quotePrefix="0" xfId="0">
      <alignment horizontal="center" vertical="center"/>
    </xf>
    <xf numFmtId="0" fontId="31" fillId="0" borderId="16" applyAlignment="1" pivotButton="0" quotePrefix="0" xfId="0">
      <alignment horizontal="left" vertical="center"/>
    </xf>
    <xf numFmtId="3" fontId="31" fillId="0" borderId="16" applyAlignment="1" pivotButton="0" quotePrefix="0" xfId="0">
      <alignment horizontal="right" vertical="center"/>
    </xf>
    <xf numFmtId="10" fontId="31" fillId="0" borderId="16" applyAlignment="1" pivotButton="0" quotePrefix="0" xfId="0">
      <alignment horizontal="right" vertical="center"/>
    </xf>
    <xf numFmtId="10" fontId="31" fillId="0" borderId="16" applyAlignment="1" pivotButton="0" quotePrefix="0" xfId="6">
      <alignment horizontal="right" vertical="center"/>
    </xf>
    <xf numFmtId="10" fontId="29" fillId="37" borderId="13" applyAlignment="1" pivotButton="0" quotePrefix="0" xfId="6">
      <alignment horizontal="center" vertical="center"/>
    </xf>
    <xf numFmtId="0" fontId="0" fillId="0" borderId="17" pivotButton="0" quotePrefix="0" xfId="0"/>
    <xf numFmtId="0" fontId="1" fillId="0" borderId="17" applyAlignment="1" pivotButton="0" quotePrefix="0" xfId="0">
      <alignment horizontal="left" vertical="center"/>
    </xf>
    <xf numFmtId="10" fontId="0" fillId="0" borderId="17" applyAlignment="1" pivotButton="0" quotePrefix="0" xfId="6">
      <alignment horizontal="right" vertical="center"/>
    </xf>
    <xf numFmtId="10" fontId="0" fillId="0" borderId="17" pivotButton="0" quotePrefix="0" xfId="6"/>
    <xf numFmtId="0" fontId="32" fillId="35" borderId="21" applyAlignment="1" pivotButton="0" quotePrefix="0" xfId="0">
      <alignment horizontal="center" vertical="center"/>
    </xf>
    <xf numFmtId="0" fontId="32" fillId="35" borderId="22" applyAlignment="1" pivotButton="0" quotePrefix="0" xfId="0">
      <alignment horizontal="left" vertical="center"/>
    </xf>
    <xf numFmtId="0" fontId="32" fillId="35" borderId="22" applyAlignment="1" pivotButton="0" quotePrefix="0" xfId="0">
      <alignment horizontal="center" vertical="center"/>
    </xf>
    <xf numFmtId="0" fontId="32" fillId="35" borderId="23" applyAlignment="1" pivotButton="0" quotePrefix="0" xfId="0">
      <alignment horizontal="center" vertical="center"/>
    </xf>
    <xf numFmtId="0" fontId="33" fillId="0" borderId="24" applyAlignment="1" pivotButton="0" quotePrefix="0" xfId="0">
      <alignment horizontal="center" vertical="center"/>
    </xf>
    <xf numFmtId="0" fontId="34" fillId="0" borderId="14" applyAlignment="1" pivotButton="0" quotePrefix="0" xfId="0">
      <alignment horizontal="left" vertical="center"/>
    </xf>
    <xf numFmtId="3" fontId="34" fillId="0" borderId="14" applyAlignment="1" pivotButton="0" quotePrefix="0" xfId="0">
      <alignment horizontal="right" vertical="center"/>
    </xf>
    <xf numFmtId="3" fontId="34" fillId="0" borderId="25" applyAlignment="1" pivotButton="0" quotePrefix="0" xfId="0">
      <alignment horizontal="right" vertical="center"/>
    </xf>
    <xf numFmtId="0" fontId="33" fillId="38" borderId="26" applyAlignment="1" pivotButton="0" quotePrefix="0" xfId="0">
      <alignment horizontal="center" vertical="center"/>
    </xf>
    <xf numFmtId="0" fontId="33" fillId="38" borderId="15" applyAlignment="1" pivotButton="0" quotePrefix="0" xfId="0">
      <alignment horizontal="left" vertical="center"/>
    </xf>
    <xf numFmtId="3" fontId="33" fillId="38" borderId="15" applyAlignment="1" pivotButton="0" quotePrefix="0" xfId="0">
      <alignment horizontal="right" vertical="center"/>
    </xf>
    <xf numFmtId="3" fontId="33" fillId="38" borderId="27" applyAlignment="1" pivotButton="0" quotePrefix="0" xfId="0">
      <alignment horizontal="right" vertical="center"/>
    </xf>
    <xf numFmtId="10" fontId="34" fillId="0" borderId="14" applyAlignment="1" pivotButton="0" quotePrefix="0" xfId="6">
      <alignment horizontal="right" vertical="center"/>
    </xf>
    <xf numFmtId="10" fontId="34" fillId="0" borderId="25" applyAlignment="1" pivotButton="0" quotePrefix="0" xfId="6">
      <alignment horizontal="right" vertical="center"/>
    </xf>
    <xf numFmtId="0" fontId="33" fillId="38" borderId="15" applyAlignment="1" pivotButton="0" quotePrefix="0" xfId="0">
      <alignment horizontal="right" vertical="center"/>
    </xf>
    <xf numFmtId="10" fontId="33" fillId="38" borderId="15" applyAlignment="1" pivotButton="0" quotePrefix="0" xfId="6">
      <alignment horizontal="right" vertical="center"/>
    </xf>
    <xf numFmtId="164" fontId="33" fillId="38" borderId="15" applyAlignment="1" pivotButton="0" quotePrefix="0" xfId="6">
      <alignment horizontal="right" vertical="center"/>
    </xf>
    <xf numFmtId="0" fontId="33" fillId="38" borderId="27" applyAlignment="1" pivotButton="0" quotePrefix="0" xfId="0">
      <alignment horizontal="right" vertical="center"/>
    </xf>
    <xf numFmtId="0" fontId="29" fillId="0" borderId="17" pivotButton="0" quotePrefix="0" xfId="0"/>
    <xf numFmtId="0" fontId="1" fillId="0" borderId="17" applyAlignment="1" pivotButton="0" quotePrefix="0" xfId="0">
      <alignment vertical="center"/>
    </xf>
    <xf numFmtId="0" fontId="29" fillId="0" borderId="17" applyAlignment="1" pivotButton="0" quotePrefix="0" xfId="0">
      <alignment vertical="center"/>
    </xf>
    <xf numFmtId="0" fontId="32" fillId="35" borderId="21" applyAlignment="1" pivotButton="0" quotePrefix="0" xfId="32">
      <alignment horizontal="center" vertical="center" wrapText="1"/>
    </xf>
    <xf numFmtId="0" fontId="32" fillId="35" borderId="22" applyAlignment="1" pivotButton="0" quotePrefix="0" xfId="0">
      <alignment horizontal="center" vertical="center" wrapText="1"/>
    </xf>
    <xf numFmtId="0" fontId="32" fillId="35" borderId="23" applyAlignment="1" pivotButton="0" quotePrefix="0" xfId="0">
      <alignment horizontal="center" vertical="center" wrapText="1"/>
    </xf>
    <xf numFmtId="0" fontId="29" fillId="39" borderId="28" applyAlignment="1" pivotButton="0" quotePrefix="0" xfId="0">
      <alignment horizontal="center" vertical="center"/>
    </xf>
    <xf numFmtId="10" fontId="33" fillId="0" borderId="25" applyAlignment="1" pivotButton="0" quotePrefix="0" xfId="0">
      <alignment horizontal="right" vertical="center"/>
    </xf>
    <xf numFmtId="9" fontId="1" fillId="0" borderId="17" pivotButton="0" quotePrefix="0" xfId="0"/>
    <xf numFmtId="10" fontId="1" fillId="0" borderId="17" applyAlignment="1" pivotButton="0" quotePrefix="0" xfId="6">
      <alignment vertical="center"/>
    </xf>
    <xf numFmtId="0" fontId="29" fillId="39" borderId="28" applyAlignment="1" pivotButton="0" quotePrefix="0" xfId="32">
      <alignment horizontal="center" vertical="center"/>
    </xf>
    <xf numFmtId="0" fontId="29" fillId="39" borderId="29" applyAlignment="1" pivotButton="0" quotePrefix="0" xfId="0">
      <alignment horizontal="center" vertical="center"/>
    </xf>
    <xf numFmtId="10" fontId="1" fillId="0" borderId="17" pivotButton="0" quotePrefix="0" xfId="6"/>
    <xf numFmtId="0" fontId="29" fillId="39" borderId="30" applyAlignment="1" pivotButton="0" quotePrefix="0" xfId="0">
      <alignment horizontal="center" vertical="center"/>
    </xf>
    <xf numFmtId="0" fontId="34" fillId="0" borderId="13" applyAlignment="1" pivotButton="0" quotePrefix="0" xfId="0">
      <alignment horizontal="left" vertical="center"/>
    </xf>
    <xf numFmtId="3" fontId="34" fillId="0" borderId="13" applyAlignment="1" pivotButton="0" quotePrefix="0" xfId="0">
      <alignment horizontal="right" vertical="center"/>
    </xf>
    <xf numFmtId="10" fontId="33" fillId="0" borderId="31" applyAlignment="1" pivotButton="0" quotePrefix="0" xfId="0">
      <alignment horizontal="right" vertical="center"/>
    </xf>
    <xf numFmtId="10" fontId="34" fillId="0" borderId="13" applyAlignment="1" pivotButton="0" quotePrefix="0" xfId="6">
      <alignment horizontal="right" vertical="center"/>
    </xf>
    <xf numFmtId="10" fontId="34" fillId="0" borderId="31" applyAlignment="1" pivotButton="0" quotePrefix="0" xfId="6">
      <alignment horizontal="right" vertical="center"/>
    </xf>
    <xf numFmtId="0" fontId="32" fillId="35" borderId="21" applyAlignment="1" pivotButton="0" quotePrefix="0" xfId="0">
      <alignment horizontal="center" vertical="center" wrapText="1"/>
    </xf>
    <xf numFmtId="10" fontId="32" fillId="35" borderId="22" applyAlignment="1" pivotButton="0" quotePrefix="0" xfId="6">
      <alignment horizontal="center" vertical="center" wrapText="1"/>
    </xf>
    <xf numFmtId="10" fontId="34" fillId="0" borderId="14" applyAlignment="1" pivotButton="0" quotePrefix="0" xfId="0">
      <alignment horizontal="right" vertical="center"/>
    </xf>
    <xf numFmtId="10" fontId="34" fillId="0" borderId="25" applyAlignment="1" pivotButton="0" quotePrefix="0" xfId="0">
      <alignment horizontal="right" vertical="center"/>
    </xf>
    <xf numFmtId="10" fontId="32" fillId="35" borderId="23" applyAlignment="1" pivotButton="0" quotePrefix="0" xfId="6">
      <alignment horizontal="center" vertical="center" wrapText="1"/>
    </xf>
    <xf numFmtId="0" fontId="35" fillId="40" borderId="36" applyAlignment="1" pivotButton="0" quotePrefix="0" xfId="0">
      <alignment horizontal="center" vertical="center"/>
    </xf>
    <xf numFmtId="0" fontId="0" fillId="0" borderId="36" pivotButton="0" quotePrefix="0" xfId="0"/>
    <xf numFmtId="10" fontId="0" fillId="41" borderId="36" pivotButton="0" quotePrefix="0" xfId="6"/>
    <xf numFmtId="10" fontId="36" fillId="0" borderId="36" applyAlignment="1" pivotButton="0" quotePrefix="0" xfId="6">
      <alignment horizontal="left" vertical="center"/>
    </xf>
    <xf numFmtId="10" fontId="0" fillId="42" borderId="36" pivotButton="0" quotePrefix="0" xfId="6"/>
    <xf numFmtId="10" fontId="0" fillId="43" borderId="36" pivotButton="0" quotePrefix="0" xfId="6"/>
    <xf numFmtId="10" fontId="0" fillId="44" borderId="36" pivotButton="0" quotePrefix="0" xfId="6"/>
    <xf numFmtId="10" fontId="0" fillId="45" borderId="36" pivotButton="0" quotePrefix="0" xfId="6"/>
    <xf numFmtId="0" fontId="0" fillId="41" borderId="36" pivotButton="0" quotePrefix="0" xfId="0"/>
    <xf numFmtId="0" fontId="36" fillId="0" borderId="36" applyAlignment="1" pivotButton="0" quotePrefix="0" xfId="0">
      <alignment horizontal="left" vertical="center"/>
    </xf>
    <xf numFmtId="10" fontId="0" fillId="46" borderId="36" pivotButton="0" quotePrefix="0" xfId="6"/>
    <xf numFmtId="10" fontId="0" fillId="47" borderId="36" pivotButton="0" quotePrefix="0" xfId="6"/>
    <xf numFmtId="10" fontId="35" fillId="40" borderId="36" applyAlignment="1" pivotButton="0" quotePrefix="0" xfId="6">
      <alignment horizontal="center" vertical="center"/>
    </xf>
    <xf numFmtId="0" fontId="0" fillId="42" borderId="36" pivotButton="0" quotePrefix="0" xfId="0"/>
    <xf numFmtId="10" fontId="0" fillId="48" borderId="36" pivotButton="0" quotePrefix="0" xfId="6"/>
    <xf numFmtId="0" fontId="0" fillId="46" borderId="36" pivotButton="0" quotePrefix="0" xfId="0"/>
    <xf numFmtId="10" fontId="0" fillId="49" borderId="36" pivotButton="0" quotePrefix="0" xfId="6"/>
    <xf numFmtId="0" fontId="37" fillId="0" borderId="1" applyAlignment="1" pivotButton="0" quotePrefix="0" xfId="0">
      <alignment horizontal="center" vertical="center"/>
    </xf>
    <xf numFmtId="0" fontId="8" fillId="0" borderId="37" pivotButton="0" quotePrefix="0" xfId="0"/>
    <xf numFmtId="0" fontId="8" fillId="0" borderId="38" pivotButton="0" quotePrefix="0" xfId="0"/>
    <xf numFmtId="0" fontId="38" fillId="0" borderId="0" applyAlignment="1" pivotButton="0" quotePrefix="0" xfId="0">
      <alignment vertical="center"/>
    </xf>
    <xf numFmtId="0" fontId="39" fillId="5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50" borderId="1" applyAlignment="1" pivotButton="0" quotePrefix="0" xfId="0">
      <alignment vertical="center"/>
    </xf>
    <xf numFmtId="0" fontId="41" fillId="51" borderId="1" applyAlignment="1" pivotButton="0" quotePrefix="0" xfId="0">
      <alignment vertical="center"/>
    </xf>
    <xf numFmtId="0" fontId="8" fillId="50" borderId="1" applyAlignment="1" pivotButton="0" quotePrefix="0" xfId="0">
      <alignment vertical="center"/>
    </xf>
    <xf numFmtId="0" fontId="8" fillId="52" borderId="1" applyAlignment="1" pivotButton="0" quotePrefix="0" xfId="0">
      <alignment vertical="center"/>
    </xf>
    <xf numFmtId="0" fontId="8" fillId="53" borderId="1" applyAlignment="1" pivotButton="0" quotePrefix="0" xfId="0">
      <alignment vertical="center"/>
    </xf>
    <xf numFmtId="0" fontId="8" fillId="54" borderId="1" applyAlignment="1" pivotButton="0" quotePrefix="0" xfId="0">
      <alignment vertical="center"/>
    </xf>
    <xf numFmtId="0" fontId="8" fillId="55" borderId="1" applyAlignment="1" pivotButton="0" quotePrefix="0" xfId="0">
      <alignment vertical="center"/>
    </xf>
    <xf numFmtId="0" fontId="8" fillId="56" borderId="1" applyAlignment="1" pivotButton="0" quotePrefix="0" xfId="0">
      <alignment vertical="center"/>
    </xf>
    <xf numFmtId="0" fontId="8" fillId="57" borderId="1" applyAlignment="1" pivotButton="0" quotePrefix="0" xfId="0">
      <alignment vertical="center"/>
    </xf>
    <xf numFmtId="0" fontId="8" fillId="58" borderId="1" applyAlignment="1" pivotButton="0" quotePrefix="0" xfId="0">
      <alignment vertical="center"/>
    </xf>
    <xf numFmtId="0" fontId="8" fillId="59" borderId="1" applyAlignment="1" pivotButton="0" quotePrefix="0" xfId="0">
      <alignment vertical="center"/>
    </xf>
    <xf numFmtId="0" fontId="8" fillId="60" borderId="1" applyAlignment="1" pivotButton="0" quotePrefix="0" xfId="0">
      <alignment vertical="center"/>
    </xf>
    <xf numFmtId="0" fontId="8" fillId="61" borderId="1" applyAlignment="1" pivotButton="0" quotePrefix="0" xfId="0">
      <alignment vertical="center"/>
    </xf>
    <xf numFmtId="0" fontId="8" fillId="62" borderId="1" applyAlignment="1" pivotButton="0" quotePrefix="0" xfId="0">
      <alignment vertical="center"/>
    </xf>
    <xf numFmtId="0" fontId="42" fillId="0" borderId="1" applyAlignment="1" pivotButton="0" quotePrefix="0" xfId="0">
      <alignment vertical="center"/>
    </xf>
    <xf numFmtId="0" fontId="40" fillId="50" borderId="0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40" fillId="50" borderId="2" applyAlignment="1" pivotButton="0" quotePrefix="0" xfId="0">
      <alignment vertical="center"/>
    </xf>
    <xf numFmtId="0" fontId="8" fillId="63" borderId="0" applyAlignment="1" pivotButton="0" quotePrefix="0" xfId="0">
      <alignment vertical="center"/>
    </xf>
    <xf numFmtId="0" fontId="8" fillId="50" borderId="2" applyAlignment="1" pivotButton="0" quotePrefix="0" xfId="0">
      <alignment vertical="center"/>
    </xf>
    <xf numFmtId="0" fontId="8" fillId="64" borderId="1" applyAlignment="1" pivotButton="0" quotePrefix="0" xfId="0">
      <alignment vertical="center"/>
    </xf>
    <xf numFmtId="0" fontId="40" fillId="0" borderId="1" applyAlignment="1" pivotButton="0" quotePrefix="0" xfId="0">
      <alignment vertical="center"/>
    </xf>
    <xf numFmtId="0" fontId="8" fillId="65" borderId="1" applyAlignment="1" pivotButton="0" quotePrefix="0" xfId="0">
      <alignment vertical="center"/>
    </xf>
    <xf numFmtId="0" fontId="8" fillId="66" borderId="1" applyAlignment="1" pivotButton="0" quotePrefix="0" xfId="0">
      <alignment vertical="center"/>
    </xf>
    <xf numFmtId="0" fontId="8" fillId="67" borderId="1" applyAlignment="1" pivotButton="0" quotePrefix="0" xfId="0">
      <alignment vertical="center"/>
    </xf>
    <xf numFmtId="0" fontId="8" fillId="68" borderId="1" applyAlignment="1" pivotButton="0" quotePrefix="0" xfId="0">
      <alignment vertical="center"/>
    </xf>
    <xf numFmtId="0" fontId="8" fillId="69" borderId="1" applyAlignment="1" pivotButton="0" quotePrefix="0" xfId="0">
      <alignment vertical="center"/>
    </xf>
    <xf numFmtId="0" fontId="8" fillId="70" borderId="1" applyAlignment="1" pivotButton="0" quotePrefix="0" xfId="0">
      <alignment vertical="center"/>
    </xf>
    <xf numFmtId="0" fontId="8" fillId="71" borderId="1" applyAlignment="1" pivotButton="0" quotePrefix="0" xfId="0">
      <alignment vertical="center"/>
    </xf>
    <xf numFmtId="0" fontId="8" fillId="72" borderId="1" applyAlignment="1" pivotButton="0" quotePrefix="0" xfId="0">
      <alignment vertical="center"/>
    </xf>
    <xf numFmtId="0" fontId="43" fillId="73" borderId="1" applyAlignment="1" pivotButton="0" quotePrefix="0" xfId="0">
      <alignment vertical="center"/>
    </xf>
    <xf numFmtId="0" fontId="43" fillId="74" borderId="1" applyAlignment="1" pivotButton="0" quotePrefix="0" xfId="0">
      <alignment vertical="center"/>
    </xf>
    <xf numFmtId="0" fontId="8" fillId="75" borderId="1" applyAlignment="1" pivotButton="0" quotePrefix="0" xfId="0">
      <alignment vertical="center"/>
    </xf>
    <xf numFmtId="0" fontId="8" fillId="76" borderId="1" applyAlignment="1" pivotButton="0" quotePrefix="0" xfId="0">
      <alignment vertical="center"/>
    </xf>
    <xf numFmtId="0" fontId="8" fillId="77" borderId="1" applyAlignment="1" pivotButton="0" quotePrefix="0" xfId="0">
      <alignment vertical="center"/>
    </xf>
    <xf numFmtId="0" fontId="8" fillId="78" borderId="1" applyAlignment="1" pivotButton="0" quotePrefix="0" xfId="0">
      <alignment vertical="center"/>
    </xf>
    <xf numFmtId="0" fontId="8" fillId="79" borderId="1" applyAlignment="1" pivotButton="0" quotePrefix="0" xfId="0">
      <alignment vertical="center"/>
    </xf>
    <xf numFmtId="0" fontId="8" fillId="8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81" borderId="1" applyAlignment="1" pivotButton="0" quotePrefix="0" xfId="0">
      <alignment vertical="center"/>
    </xf>
    <xf numFmtId="0" fontId="8" fillId="82" borderId="1" applyAlignment="1" pivotButton="0" quotePrefix="0" xfId="0">
      <alignment vertical="center"/>
    </xf>
    <xf numFmtId="0" fontId="8" fillId="83" borderId="0" applyAlignment="1" pivotButton="0" quotePrefix="0" xfId="0">
      <alignment vertical="center"/>
    </xf>
    <xf numFmtId="0" fontId="8" fillId="50" borderId="1" applyAlignment="1" pivotButton="0" quotePrefix="0" xfId="0">
      <alignment horizontal="left" vertical="center"/>
    </xf>
    <xf numFmtId="0" fontId="8" fillId="84" borderId="1" applyAlignment="1" pivotButton="0" quotePrefix="0" xfId="0">
      <alignment vertical="center"/>
    </xf>
    <xf numFmtId="0" fontId="8" fillId="85" borderId="1" applyAlignment="1" pivotButton="0" quotePrefix="0" xfId="0">
      <alignment vertical="center"/>
    </xf>
    <xf numFmtId="0" fontId="8" fillId="86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87" borderId="1" applyAlignment="1" pivotButton="0" quotePrefix="0" xfId="0">
      <alignment vertical="center"/>
    </xf>
    <xf numFmtId="0" fontId="8" fillId="88" borderId="1" applyAlignment="1" pivotButton="0" quotePrefix="0" xfId="0">
      <alignment vertical="center"/>
    </xf>
    <xf numFmtId="0" fontId="8" fillId="15" borderId="1" applyAlignment="1" pivotButton="0" quotePrefix="0" xfId="0">
      <alignment vertical="center"/>
    </xf>
    <xf numFmtId="0" fontId="8" fillId="89" borderId="1" applyAlignment="1" pivotButton="0" quotePrefix="0" xfId="0">
      <alignment vertical="center"/>
    </xf>
    <xf numFmtId="0" fontId="8" fillId="90" borderId="1" applyAlignment="1" pivotButton="0" quotePrefix="0" xfId="0">
      <alignment vertical="center"/>
    </xf>
    <xf numFmtId="0" fontId="8" fillId="91" borderId="1" applyAlignment="1" pivotButton="0" quotePrefix="0" xfId="0">
      <alignment vertical="center"/>
    </xf>
    <xf numFmtId="0" fontId="8" fillId="92" borderId="0" applyAlignment="1" pivotButton="0" quotePrefix="0" xfId="0">
      <alignment vertical="center"/>
    </xf>
    <xf numFmtId="0" fontId="8" fillId="93" borderId="1" applyAlignment="1" pivotButton="0" quotePrefix="0" xfId="0">
      <alignment vertical="center"/>
    </xf>
    <xf numFmtId="0" fontId="8" fillId="94" borderId="1" applyAlignment="1" pivotButton="0" quotePrefix="0" xfId="0">
      <alignment vertical="center"/>
    </xf>
    <xf numFmtId="0" fontId="8" fillId="95" borderId="1" applyAlignment="1" pivotButton="0" quotePrefix="0" xfId="0">
      <alignment vertical="center"/>
    </xf>
    <xf numFmtId="0" fontId="8" fillId="96" borderId="1" applyAlignment="1" pivotButton="0" quotePrefix="0" xfId="0">
      <alignment vertical="center"/>
    </xf>
    <xf numFmtId="0" fontId="8" fillId="97" borderId="1" applyAlignment="1" pivotButton="0" quotePrefix="0" xfId="0">
      <alignment vertical="center"/>
    </xf>
    <xf numFmtId="0" fontId="8" fillId="98" borderId="1" applyAlignment="1" pivotButton="0" quotePrefix="0" xfId="0">
      <alignment vertical="center"/>
    </xf>
    <xf numFmtId="0" fontId="8" fillId="99" borderId="0" applyAlignment="1" pivotButton="0" quotePrefix="0" xfId="0">
      <alignment vertical="center"/>
    </xf>
    <xf numFmtId="0" fontId="8" fillId="100" borderId="1" applyAlignment="1" pivotButton="0" quotePrefix="0" xfId="0">
      <alignment vertical="center"/>
    </xf>
    <xf numFmtId="0" fontId="8" fillId="101" borderId="1" applyAlignment="1" pivotButton="0" quotePrefix="0" xfId="0">
      <alignment vertical="center"/>
    </xf>
    <xf numFmtId="0" fontId="8" fillId="102" borderId="1" applyAlignment="1" pivotButton="0" quotePrefix="0" xfId="0">
      <alignment vertical="center"/>
    </xf>
    <xf numFmtId="0" fontId="8" fillId="103" borderId="1" applyAlignment="1" pivotButton="0" quotePrefix="0" xfId="0">
      <alignment vertical="center"/>
    </xf>
    <xf numFmtId="0" fontId="8" fillId="50" borderId="1" pivotButton="0" quotePrefix="0" xfId="0"/>
    <xf numFmtId="0" fontId="8" fillId="104" borderId="1" applyAlignment="1" pivotButton="0" quotePrefix="0" xfId="0">
      <alignment vertical="center"/>
    </xf>
    <xf numFmtId="0" fontId="8" fillId="105" borderId="1" applyAlignment="1" pivotButton="0" quotePrefix="0" xfId="0">
      <alignment vertical="center"/>
    </xf>
    <xf numFmtId="0" fontId="8" fillId="106" borderId="1" applyAlignment="1" pivotButton="0" quotePrefix="0" xfId="0">
      <alignment vertical="center"/>
    </xf>
    <xf numFmtId="0" fontId="44" fillId="107" borderId="1" applyAlignment="1" pivotButton="0" quotePrefix="0" xfId="0">
      <alignment vertical="center"/>
    </xf>
    <xf numFmtId="0" fontId="8" fillId="108" borderId="1" applyAlignment="1" pivotButton="0" quotePrefix="0" xfId="0">
      <alignment vertical="center"/>
    </xf>
    <xf numFmtId="0" fontId="8" fillId="109" borderId="1" applyAlignment="1" pivotButton="0" quotePrefix="0" xfId="0">
      <alignment vertical="center"/>
    </xf>
    <xf numFmtId="0" fontId="8" fillId="110" borderId="1" applyAlignment="1" pivotButton="0" quotePrefix="0" xfId="0">
      <alignment vertical="center"/>
    </xf>
    <xf numFmtId="0" fontId="8" fillId="111" borderId="1" applyAlignment="1" pivotButton="0" quotePrefix="0" xfId="0">
      <alignment vertical="center"/>
    </xf>
    <xf numFmtId="0" fontId="8" fillId="112" borderId="1" applyAlignment="1" pivotButton="0" quotePrefix="0" xfId="0">
      <alignment vertical="center"/>
    </xf>
    <xf numFmtId="0" fontId="8" fillId="113" borderId="1" applyAlignment="1" pivotButton="0" quotePrefix="0" xfId="0">
      <alignment vertical="center"/>
    </xf>
    <xf numFmtId="0" fontId="8" fillId="114" borderId="1" applyAlignment="1" pivotButton="0" quotePrefix="0" xfId="0">
      <alignment vertical="center"/>
    </xf>
    <xf numFmtId="0" fontId="8" fillId="115" borderId="1" applyAlignment="1" pivotButton="0" quotePrefix="0" xfId="0">
      <alignment vertical="center"/>
    </xf>
    <xf numFmtId="0" fontId="8" fillId="116" borderId="1" applyAlignment="1" pivotButton="0" quotePrefix="0" xfId="0">
      <alignment vertical="center"/>
    </xf>
    <xf numFmtId="0" fontId="8" fillId="117" borderId="1" applyAlignment="1" pivotButton="0" quotePrefix="0" xfId="0">
      <alignment vertical="center"/>
    </xf>
    <xf numFmtId="0" fontId="8" fillId="118" borderId="1" applyAlignment="1" pivotButton="0" quotePrefix="0" xfId="0">
      <alignment vertical="center"/>
    </xf>
    <xf numFmtId="0" fontId="32" fillId="0" borderId="17" applyAlignment="1" pivotButton="0" quotePrefix="0" xfId="0">
      <alignment horizontal="center" vertical="center" wrapText="1"/>
    </xf>
    <xf numFmtId="10" fontId="34" fillId="0" borderId="17" applyAlignment="1" pivotButton="0" quotePrefix="0" xfId="6">
      <alignment horizontal="right" vertical="center"/>
    </xf>
    <xf numFmtId="10" fontId="32" fillId="0" borderId="17" applyAlignment="1" pivotButton="0" quotePrefix="0" xfId="6">
      <alignment horizontal="center" vertical="center" wrapText="1"/>
    </xf>
    <xf numFmtId="10" fontId="34" fillId="0" borderId="17" applyAlignment="1" pivotButton="0" quotePrefix="0" xfId="0">
      <alignment horizontal="right" vertical="center"/>
    </xf>
    <xf numFmtId="10" fontId="0" fillId="119" borderId="36" pivotButton="0" quotePrefix="0" xfId="6"/>
    <xf numFmtId="0" fontId="0" fillId="0" borderId="41" pivotButton="0" quotePrefix="0" xfId="0"/>
    <xf numFmtId="0" fontId="29" fillId="39" borderId="32" applyAlignment="1" pivotButton="0" quotePrefix="0" xfId="0">
      <alignment horizontal="center" vertical="center"/>
    </xf>
    <xf numFmtId="0" fontId="29" fillId="39" borderId="32" applyAlignment="1" pivotButton="0" quotePrefix="0" xfId="32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10" fontId="0" fillId="120" borderId="36" pivotButton="0" quotePrefix="0" xfId="6"/>
    <xf numFmtId="10" fontId="36" fillId="0" borderId="17" applyAlignment="1" pivotButton="0" quotePrefix="0" xfId="6">
      <alignment horizontal="left" vertical="center"/>
    </xf>
    <xf numFmtId="0" fontId="34" fillId="0" borderId="17" applyAlignment="1" pivotButton="0" quotePrefix="0" xfId="0">
      <alignment horizontal="right" vertical="center"/>
    </xf>
    <xf numFmtId="10" fontId="0" fillId="121" borderId="36" pivotButton="0" quotePrefix="0" xfId="6"/>
    <xf numFmtId="0" fontId="35" fillId="0" borderId="17" applyAlignment="1" pivotButton="0" quotePrefix="0" xfId="0">
      <alignment horizontal="center" vertical="center"/>
    </xf>
    <xf numFmtId="0" fontId="36" fillId="0" borderId="17" applyAlignment="1" pivotButton="0" quotePrefix="0" xfId="0">
      <alignment horizontal="left" vertical="center"/>
    </xf>
    <xf numFmtId="10" fontId="35" fillId="0" borderId="17" applyAlignment="1" pivotButton="0" quotePrefix="0" xfId="6">
      <alignment horizontal="center" vertical="center"/>
    </xf>
    <xf numFmtId="0" fontId="34" fillId="0" borderId="25" applyAlignment="1" pivotButton="0" quotePrefix="0" xfId="0">
      <alignment horizontal="right" vertical="center"/>
    </xf>
    <xf numFmtId="0" fontId="29" fillId="0" borderId="17" applyAlignment="1" pivotButton="0" quotePrefix="0" xfId="0">
      <alignment horizontal="left" vertical="center"/>
    </xf>
    <xf numFmtId="0" fontId="0" fillId="40" borderId="36" pivotButton="0" quotePrefix="0" xfId="0"/>
    <xf numFmtId="0" fontId="0" fillId="44" borderId="36" pivotButton="0" quotePrefix="0" xfId="0"/>
    <xf numFmtId="0" fontId="0" fillId="120" borderId="36" pivotButton="0" quotePrefix="0" xfId="0"/>
    <xf numFmtId="0" fontId="0" fillId="43" borderId="36" pivotButton="0" quotePrefix="0" xfId="0"/>
    <xf numFmtId="0" fontId="0" fillId="45" borderId="36" pivotButton="0" quotePrefix="0" xfId="0"/>
    <xf numFmtId="0" fontId="0" fillId="47" borderId="36" pivotButton="0" quotePrefix="0" xfId="0"/>
    <xf numFmtId="0" fontId="0" fillId="49" borderId="36" pivotButton="0" quotePrefix="0" xfId="0"/>
    <xf numFmtId="0" fontId="0" fillId="121" borderId="36" pivotButton="0" quotePrefix="0" xfId="0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Tran, Phi Hung</author>
  </authors>
  <commentList>
    <comment ref="B2" authorId="0" shapeId="0">
      <text>
        <t xml:space="preserve">A Grade +B Grade+ C Grade
</t>
      </text>
    </comment>
    <comment ref="B3" authorId="0" shapeId="0">
      <text>
        <t xml:space="preserve">A Grade +B Grade+ C Grade
</t>
      </text>
    </comment>
    <comment ref="B4" authorId="0" shapeId="0">
      <text>
        <t xml:space="preserve">A Grade +B Grade+ C Grade
</t>
      </text>
    </comment>
    <comment ref="B5" authorId="0" shapeId="0">
      <text>
        <t xml:space="preserve">A Grade +B Grade+ C Grade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"/>
  <sheetViews>
    <sheetView showGridLines="1" tabSelected="1" topLeftCell="E4" zoomScale="71" zoomScaleNormal="71" workbookViewId="0">
      <selection activeCell="I25" sqref="I25"/>
    </sheetView>
  </sheetViews>
  <sheetFormatPr baseColWidth="8" defaultColWidth="8.81666666666667" defaultRowHeight="17.25"/>
  <cols>
    <col width="8.81666666666667" customWidth="1" style="1" min="1" max="1"/>
    <col width="23.3666666666667" customWidth="1" style="1" min="2" max="2"/>
    <col width="13.9083333333333" customWidth="1" style="1" min="3" max="3"/>
    <col width="49.8166666666667" customWidth="1" style="1" min="4" max="4"/>
    <col width="10.6333333333333" customWidth="1" style="1" min="5" max="5"/>
    <col width="15.5416666666667" customWidth="1" style="1" min="6" max="6"/>
    <col width="13.45" customWidth="1" style="1" min="7" max="7"/>
    <col width="9.633333333333329" customWidth="1" style="1" min="8" max="8"/>
    <col width="11.9083333333333" customWidth="1" style="1" min="9" max="9"/>
    <col width="15.1833333333333" customWidth="1" style="1" min="10" max="10"/>
    <col width="11.45" customWidth="1" style="1" min="11" max="11"/>
    <col width="49.8166666666667" customWidth="1" style="1" min="12" max="12"/>
    <col width="16" customWidth="1" style="1" min="13" max="15"/>
    <col width="30.2666666666667" customWidth="1" style="1" min="16" max="16"/>
    <col width="40.2666666666667" customWidth="1" style="1" min="17" max="17"/>
    <col width="39.6333333333333" customWidth="1" style="1" min="18" max="18"/>
    <col width="8.81666666666667" customWidth="1" style="1" min="19" max="16384"/>
    <col width="5" customWidth="1" min="21" max="21"/>
    <col width="34" customWidth="1" min="22" max="22"/>
  </cols>
  <sheetData>
    <row r="1" ht="24" customHeight="1">
      <c r="A1" s="84" t="inlineStr">
        <is>
          <t>FTY</t>
        </is>
      </c>
      <c r="B1" s="85" t="inlineStr">
        <is>
          <t>Total pair produced</t>
        </is>
      </c>
      <c r="C1" s="86" t="inlineStr">
        <is>
          <t>Jan</t>
        </is>
      </c>
      <c r="D1" s="86" t="inlineStr">
        <is>
          <t>Feb</t>
        </is>
      </c>
      <c r="E1" s="86" t="inlineStr">
        <is>
          <t>Mar</t>
        </is>
      </c>
      <c r="F1" s="86" t="inlineStr">
        <is>
          <t>Apr</t>
        </is>
      </c>
      <c r="G1" s="86" t="inlineStr">
        <is>
          <t>May</t>
        </is>
      </c>
      <c r="H1" s="86" t="inlineStr">
        <is>
          <t>Jun</t>
        </is>
      </c>
      <c r="I1" s="86" t="inlineStr">
        <is>
          <t>Jul</t>
        </is>
      </c>
      <c r="J1" s="86" t="inlineStr">
        <is>
          <t>Aug</t>
        </is>
      </c>
      <c r="K1" s="86" t="inlineStr">
        <is>
          <t>Sep</t>
        </is>
      </c>
      <c r="L1" s="86" t="inlineStr">
        <is>
          <t>Oct</t>
        </is>
      </c>
      <c r="M1" s="86" t="inlineStr">
        <is>
          <t>Nov</t>
        </is>
      </c>
      <c r="N1" s="87" t="inlineStr">
        <is>
          <t>Dec</t>
        </is>
      </c>
      <c r="Q1" s="31" t="inlineStr">
        <is>
          <t>From Dec, 2025 report, change the rule to calculate % by model: FTT DR% by model= DR qty by model/Total inspection qty of all model of that factory. Sort model qty from highest to lowest then take top5</t>
        </is>
      </c>
      <c r="U1" s="80" t="n"/>
      <c r="V1" s="80" t="n"/>
    </row>
    <row r="2" ht="19" customHeight="1">
      <c r="A2" s="88" t="inlineStr">
        <is>
          <t>VH</t>
        </is>
      </c>
      <c r="B2" s="89" t="inlineStr">
        <is>
          <t>Total pair produced</t>
        </is>
      </c>
      <c r="C2" s="90" t="n">
        <v>271598</v>
      </c>
      <c r="D2" s="90" t="n">
        <v>187596</v>
      </c>
      <c r="E2" s="90" t="n">
        <v>260599</v>
      </c>
      <c r="F2" s="90" t="n">
        <v>237958</v>
      </c>
      <c r="G2" s="90" t="n">
        <v>235755</v>
      </c>
      <c r="H2" s="90" t="n">
        <v>229614</v>
      </c>
      <c r="I2" s="90" t="n">
        <v>250538</v>
      </c>
      <c r="J2" s="90" t="n">
        <v>252237</v>
      </c>
      <c r="K2" s="90" t="n"/>
      <c r="L2" s="90" t="n"/>
      <c r="M2" s="90" t="n"/>
      <c r="N2" s="91" t="n"/>
      <c r="U2" s="80" t="n"/>
      <c r="V2" s="80" t="n"/>
    </row>
    <row r="3" ht="19" customHeight="1">
      <c r="A3" s="88" t="inlineStr">
        <is>
          <t>VH2</t>
        </is>
      </c>
      <c r="B3" s="89" t="inlineStr">
        <is>
          <t>Total pair produced</t>
        </is>
      </c>
      <c r="C3" s="90" t="n">
        <v>215017</v>
      </c>
      <c r="D3" s="90" t="n">
        <v>142829</v>
      </c>
      <c r="E3" s="90" t="n">
        <v>198311</v>
      </c>
      <c r="F3" s="90" t="n">
        <v>197716</v>
      </c>
      <c r="G3" s="90" t="n">
        <v>202479</v>
      </c>
      <c r="H3" s="90" t="n">
        <v>187587</v>
      </c>
      <c r="I3" s="90" t="n">
        <v>185739</v>
      </c>
      <c r="J3" s="90" t="n">
        <v>187637</v>
      </c>
      <c r="K3" s="90" t="n"/>
      <c r="L3" s="90" t="n"/>
      <c r="M3" s="90" t="n"/>
      <c r="N3" s="91" t="n"/>
      <c r="U3" s="80" t="n"/>
      <c r="V3" s="80" t="n"/>
    </row>
    <row r="4" ht="19" customHeight="1">
      <c r="A4" s="88" t="inlineStr">
        <is>
          <t>JV</t>
        </is>
      </c>
      <c r="B4" s="89" t="inlineStr">
        <is>
          <t>Total pair produced</t>
        </is>
      </c>
      <c r="C4" s="90" t="n">
        <v>113263</v>
      </c>
      <c r="D4" s="90" t="n">
        <v>109373</v>
      </c>
      <c r="E4" s="90" t="n">
        <v>77577</v>
      </c>
      <c r="F4" s="90" t="n">
        <v>128553</v>
      </c>
      <c r="G4" s="90" t="n">
        <v>94006</v>
      </c>
      <c r="H4" s="90" t="n">
        <v>91617</v>
      </c>
      <c r="I4" s="90" t="n">
        <v>113846</v>
      </c>
      <c r="J4" s="90" t="n">
        <v>92175</v>
      </c>
      <c r="K4" s="90" t="n"/>
      <c r="L4" s="90" t="n"/>
      <c r="M4" s="90" t="n"/>
      <c r="N4" s="91" t="n"/>
      <c r="U4" s="80" t="n"/>
      <c r="V4" s="80" t="n"/>
    </row>
    <row r="5" ht="19" customHeight="1">
      <c r="A5" s="88" t="inlineStr">
        <is>
          <t>JV2</t>
        </is>
      </c>
      <c r="B5" s="89" t="inlineStr">
        <is>
          <t>Total pair produced</t>
        </is>
      </c>
      <c r="C5" s="90" t="n">
        <v>104684</v>
      </c>
      <c r="D5" s="90" t="n">
        <v>104216</v>
      </c>
      <c r="E5" s="90" t="n">
        <v>81867</v>
      </c>
      <c r="F5" s="90" t="n">
        <v>116571</v>
      </c>
      <c r="G5" s="90" t="n">
        <v>96194</v>
      </c>
      <c r="H5" s="90" t="n">
        <v>93287</v>
      </c>
      <c r="I5" s="90" t="n">
        <v>111473</v>
      </c>
      <c r="J5" s="90" t="n">
        <v>76104</v>
      </c>
      <c r="K5" s="90" t="n"/>
      <c r="L5" s="90" t="n"/>
      <c r="M5" s="90" t="n"/>
      <c r="N5" s="91" t="n"/>
      <c r="P5" s="17" t="n"/>
      <c r="U5" s="80" t="n"/>
      <c r="V5" s="80" t="n"/>
    </row>
    <row r="6" ht="20" customHeight="1">
      <c r="A6" s="92" t="inlineStr">
        <is>
          <t>Grand Total</t>
        </is>
      </c>
      <c r="B6" s="93" t="inlineStr">
        <is>
          <t>Total pair produced</t>
        </is>
      </c>
      <c r="C6" s="94">
        <f>SUM(C2:C5)</f>
        <v/>
      </c>
      <c r="D6" s="94">
        <f>SUM(D2:D5)</f>
        <v/>
      </c>
      <c r="E6" s="94">
        <f>SUM(E2:E5)</f>
        <v/>
      </c>
      <c r="F6" s="94">
        <f>SUM(F2:F5)</f>
        <v/>
      </c>
      <c r="G6" s="94">
        <f>SUM(G2:G5)</f>
        <v/>
      </c>
      <c r="H6" s="94">
        <f>SUM(H2:H5)</f>
        <v/>
      </c>
      <c r="I6" s="94">
        <f>SUM(I2:I5)</f>
        <v/>
      </c>
      <c r="J6" s="94">
        <f>SUM(J2:J5)</f>
        <v/>
      </c>
      <c r="K6" s="94">
        <f>SUM(K2:K5)</f>
        <v/>
      </c>
      <c r="L6" s="94">
        <f>SUM(L2:L5)</f>
        <v/>
      </c>
      <c r="M6" s="94">
        <f>SUM(M2:M5)</f>
        <v/>
      </c>
      <c r="N6" s="95">
        <f>SUM(N2:N5)</f>
        <v/>
      </c>
      <c r="U6" s="80" t="n"/>
      <c r="V6" s="80" t="n"/>
    </row>
    <row r="7" ht="14" customHeight="1">
      <c r="A7" s="80" t="n"/>
      <c r="B7" s="80" t="n"/>
      <c r="C7" s="80" t="n"/>
      <c r="D7" s="80" t="n"/>
      <c r="E7" s="80" t="n"/>
      <c r="F7" s="80" t="n"/>
      <c r="G7" s="80" t="n"/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</row>
    <row r="8" ht="24" customHeight="1">
      <c r="A8" s="84" t="inlineStr">
        <is>
          <t>FTY</t>
        </is>
      </c>
      <c r="B8" s="85" t="inlineStr">
        <is>
          <t>Defect</t>
        </is>
      </c>
      <c r="C8" s="86" t="inlineStr">
        <is>
          <t>Jan</t>
        </is>
      </c>
      <c r="D8" s="86" t="inlineStr">
        <is>
          <t>Feb</t>
        </is>
      </c>
      <c r="E8" s="86" t="inlineStr">
        <is>
          <t>Mar</t>
        </is>
      </c>
      <c r="F8" s="86" t="inlineStr">
        <is>
          <t>Apr</t>
        </is>
      </c>
      <c r="G8" s="86" t="inlineStr">
        <is>
          <t>May</t>
        </is>
      </c>
      <c r="H8" s="86" t="inlineStr">
        <is>
          <t>Jun</t>
        </is>
      </c>
      <c r="I8" s="86" t="inlineStr">
        <is>
          <t>Jul</t>
        </is>
      </c>
      <c r="J8" s="86" t="inlineStr">
        <is>
          <t>Aug</t>
        </is>
      </c>
      <c r="K8" s="86" t="inlineStr">
        <is>
          <t>Sep</t>
        </is>
      </c>
      <c r="L8" s="86" t="inlineStr">
        <is>
          <t>Oct</t>
        </is>
      </c>
      <c r="M8" s="86" t="inlineStr">
        <is>
          <t>Nov</t>
        </is>
      </c>
      <c r="N8" s="87" t="inlineStr">
        <is>
          <t>Dec</t>
        </is>
      </c>
      <c r="U8" s="80" t="n"/>
      <c r="V8" s="80" t="n"/>
    </row>
    <row r="9" ht="19" customHeight="1">
      <c r="A9" s="88" t="inlineStr">
        <is>
          <t>VH</t>
        </is>
      </c>
      <c r="B9" s="89" t="inlineStr">
        <is>
          <t>Defect</t>
        </is>
      </c>
      <c r="C9" s="90" t="n">
        <v>41519</v>
      </c>
      <c r="D9" s="90" t="n">
        <v>28653</v>
      </c>
      <c r="E9" s="90" t="n">
        <v>40780</v>
      </c>
      <c r="F9" s="90" t="n">
        <v>37189</v>
      </c>
      <c r="G9" s="90" t="n">
        <v>36868</v>
      </c>
      <c r="H9" s="90" t="n">
        <v>35819</v>
      </c>
      <c r="I9" s="90" t="n">
        <v>39321</v>
      </c>
      <c r="J9" s="90" t="n">
        <v>40405</v>
      </c>
      <c r="K9" s="90" t="n"/>
      <c r="L9" s="90" t="n"/>
      <c r="M9" s="90" t="n"/>
      <c r="N9" s="91" t="n"/>
      <c r="U9" s="80" t="n"/>
      <c r="V9" s="80" t="n"/>
    </row>
    <row r="10" ht="19" customHeight="1">
      <c r="A10" s="88" t="inlineStr">
        <is>
          <t>VH2</t>
        </is>
      </c>
      <c r="B10" s="89" t="inlineStr">
        <is>
          <t>Defect</t>
        </is>
      </c>
      <c r="C10" s="90" t="n">
        <v>20033</v>
      </c>
      <c r="D10" s="90" t="n">
        <v>19126</v>
      </c>
      <c r="E10" s="90" t="n">
        <v>27189</v>
      </c>
      <c r="F10" s="90" t="n">
        <v>27481</v>
      </c>
      <c r="G10" s="90" t="n">
        <v>29000</v>
      </c>
      <c r="H10" s="90" t="n">
        <v>26824</v>
      </c>
      <c r="I10" s="90" t="n">
        <v>26996</v>
      </c>
      <c r="J10" s="90" t="n">
        <v>27355</v>
      </c>
      <c r="K10" s="90" t="n"/>
      <c r="L10" s="90" t="n"/>
      <c r="M10" s="90" t="n"/>
      <c r="N10" s="91" t="n"/>
      <c r="U10" s="80" t="n"/>
      <c r="V10" s="80" t="n"/>
    </row>
    <row r="11" ht="19" customHeight="1">
      <c r="A11" s="88" t="inlineStr">
        <is>
          <t>JV</t>
        </is>
      </c>
      <c r="B11" s="89" t="inlineStr">
        <is>
          <t>Defect</t>
        </is>
      </c>
      <c r="C11" s="90" t="n">
        <v>7879</v>
      </c>
      <c r="D11" s="90" t="n">
        <v>9713</v>
      </c>
      <c r="E11" s="90" t="n">
        <v>6825</v>
      </c>
      <c r="F11" s="90" t="n">
        <v>12512</v>
      </c>
      <c r="G11" s="90" t="n">
        <v>9320</v>
      </c>
      <c r="H11" s="90" t="n">
        <v>9379</v>
      </c>
      <c r="I11" s="90" t="n">
        <v>11891</v>
      </c>
      <c r="J11" s="90" t="n">
        <v>11421</v>
      </c>
      <c r="K11" s="90" t="n"/>
      <c r="L11" s="90" t="n"/>
      <c r="M11" s="90" t="n"/>
      <c r="N11" s="91" t="n"/>
      <c r="U11" s="80" t="n"/>
      <c r="V11" s="80" t="n"/>
    </row>
    <row r="12" ht="19" customHeight="1">
      <c r="A12" s="88" t="inlineStr">
        <is>
          <t>JV2</t>
        </is>
      </c>
      <c r="B12" s="89" t="inlineStr">
        <is>
          <t>Defect</t>
        </is>
      </c>
      <c r="C12" s="90" t="n">
        <v>6002</v>
      </c>
      <c r="D12" s="90" t="n">
        <v>5889</v>
      </c>
      <c r="E12" s="90" t="n">
        <v>4640</v>
      </c>
      <c r="F12" s="90" t="n">
        <v>6632</v>
      </c>
      <c r="G12" s="90" t="n">
        <v>5652</v>
      </c>
      <c r="H12" s="90" t="n">
        <v>5475</v>
      </c>
      <c r="I12" s="90" t="n">
        <v>6539</v>
      </c>
      <c r="J12" s="90" t="n">
        <v>4503</v>
      </c>
      <c r="K12" s="90" t="n"/>
      <c r="L12" s="90" t="n"/>
      <c r="M12" s="90" t="n"/>
      <c r="N12" s="91" t="n"/>
      <c r="U12" s="80" t="n"/>
      <c r="V12" s="80" t="n"/>
    </row>
    <row r="13" ht="20" customHeight="1">
      <c r="A13" s="92" t="inlineStr">
        <is>
          <t>Grand Total</t>
        </is>
      </c>
      <c r="B13" s="93" t="inlineStr">
        <is>
          <t>Defect</t>
        </is>
      </c>
      <c r="C13" s="94">
        <f>SUM(C9:C12)</f>
        <v/>
      </c>
      <c r="D13" s="94">
        <f>SUM(D9:D12)</f>
        <v/>
      </c>
      <c r="E13" s="94">
        <f>SUM(E9:E12)</f>
        <v/>
      </c>
      <c r="F13" s="94">
        <f>SUM(F9:F12)</f>
        <v/>
      </c>
      <c r="G13" s="94">
        <f>SUM(G9:G12)</f>
        <v/>
      </c>
      <c r="H13" s="94">
        <f>SUM(H9:H12)</f>
        <v/>
      </c>
      <c r="I13" s="94">
        <f>SUM(I9:I12)</f>
        <v/>
      </c>
      <c r="J13" s="94">
        <f>SUM(J9:J12)</f>
        <v/>
      </c>
      <c r="K13" s="94">
        <f>SUM(K9:K12)</f>
        <v/>
      </c>
      <c r="L13" s="94">
        <f>SUM(L9:L12)</f>
        <v/>
      </c>
      <c r="M13" s="94">
        <f>SUM(M9:M12)</f>
        <v/>
      </c>
      <c r="N13" s="95">
        <f>SUM(N9:N12)</f>
        <v/>
      </c>
      <c r="U13" s="80" t="n"/>
      <c r="V13" s="80" t="n"/>
    </row>
    <row r="14" ht="14" customHeight="1">
      <c r="A14" s="80" t="n"/>
      <c r="B14" s="80" t="n"/>
      <c r="C14" s="80" t="n"/>
      <c r="D14" s="80" t="n"/>
      <c r="E14" s="80" t="n"/>
      <c r="F14" s="80" t="n"/>
      <c r="G14" s="80" t="n"/>
      <c r="H14" s="80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</row>
    <row r="15" ht="24" customHeight="1">
      <c r="A15" s="84" t="inlineStr">
        <is>
          <t>FTY</t>
        </is>
      </c>
      <c r="B15" s="85" t="inlineStr">
        <is>
          <t>HFPA%</t>
        </is>
      </c>
      <c r="C15" s="86" t="inlineStr">
        <is>
          <t>Jan</t>
        </is>
      </c>
      <c r="D15" s="86" t="inlineStr">
        <is>
          <t>Feb</t>
        </is>
      </c>
      <c r="E15" s="86" t="inlineStr">
        <is>
          <t>Mar</t>
        </is>
      </c>
      <c r="F15" s="86" t="inlineStr">
        <is>
          <t>Apr</t>
        </is>
      </c>
      <c r="G15" s="86" t="inlineStr">
        <is>
          <t>May</t>
        </is>
      </c>
      <c r="H15" s="86" t="inlineStr">
        <is>
          <t>Jun</t>
        </is>
      </c>
      <c r="I15" s="86" t="inlineStr">
        <is>
          <t>Jul</t>
        </is>
      </c>
      <c r="J15" s="86" t="inlineStr">
        <is>
          <t>Aug</t>
        </is>
      </c>
      <c r="K15" s="86" t="inlineStr">
        <is>
          <t>Sep</t>
        </is>
      </c>
      <c r="L15" s="86" t="inlineStr">
        <is>
          <t>Oct</t>
        </is>
      </c>
      <c r="M15" s="86" t="inlineStr">
        <is>
          <t>Nov</t>
        </is>
      </c>
      <c r="N15" s="87" t="inlineStr">
        <is>
          <t>Dec</t>
        </is>
      </c>
      <c r="P15" s="17" t="n"/>
      <c r="Q15" s="17" t="n"/>
      <c r="R15" s="17" t="n"/>
      <c r="S15" s="17" t="n"/>
      <c r="T15" s="17" t="n"/>
      <c r="U15" s="80" t="n"/>
      <c r="V15" s="80" t="n"/>
    </row>
    <row r="16" ht="19" customHeight="1">
      <c r="A16" s="88" t="inlineStr">
        <is>
          <t>VH</t>
        </is>
      </c>
      <c r="B16" s="89" t="inlineStr">
        <is>
          <t>HFPA%</t>
        </is>
      </c>
      <c r="C16" s="96">
        <f>IF(C2&gt;0, 1-C9/C2, "")</f>
        <v/>
      </c>
      <c r="D16" s="96">
        <f>IF(D2&gt;0, 1-D9/D2, "")</f>
        <v/>
      </c>
      <c r="E16" s="96">
        <f>IF(E2&gt;0, 1-E9/E2, "")</f>
        <v/>
      </c>
      <c r="F16" s="96">
        <f>IF(F2&gt;0, 1-F9/F2, "")</f>
        <v/>
      </c>
      <c r="G16" s="96">
        <f>IF(G2&gt;0, 1-G9/G2, "")</f>
        <v/>
      </c>
      <c r="H16" s="96">
        <f>IF(H2&gt;0, 1-H9/H2, "")</f>
        <v/>
      </c>
      <c r="I16" s="96">
        <f>IF(I2&gt;0, 1-I9/I2, "")</f>
        <v/>
      </c>
      <c r="J16" s="96">
        <f>IF(J2&gt;0, 1-J9/J2, "")</f>
        <v/>
      </c>
      <c r="K16" s="96">
        <f>IF(K2&gt;0, 1-K9/K2, "")</f>
        <v/>
      </c>
      <c r="L16" s="96">
        <f>IF(L2&gt;0, 1-L9/L2, "")</f>
        <v/>
      </c>
      <c r="M16" s="96">
        <f>IF(M2&gt;0, 1-M9/M2, "")</f>
        <v/>
      </c>
      <c r="N16" s="97">
        <f>IF(N2&gt;0, 1-N9/N2, "")</f>
        <v/>
      </c>
      <c r="P16" s="17" t="n"/>
      <c r="U16" s="80" t="n"/>
      <c r="V16" s="80" t="n"/>
    </row>
    <row r="17" ht="19" customHeight="1">
      <c r="A17" s="88" t="inlineStr">
        <is>
          <t>VH2</t>
        </is>
      </c>
      <c r="B17" s="89" t="inlineStr">
        <is>
          <t>HFPA%</t>
        </is>
      </c>
      <c r="C17" s="96">
        <f>IF(C3&gt;0, 1-C10/C3, "")</f>
        <v/>
      </c>
      <c r="D17" s="96">
        <f>IF(D3&gt;0, 1-D10/D3, "")</f>
        <v/>
      </c>
      <c r="E17" s="96">
        <f>IF(E3&gt;0, 1-E10/E3, "")</f>
        <v/>
      </c>
      <c r="F17" s="96">
        <f>IF(F3&gt;0, 1-F10/F3, "")</f>
        <v/>
      </c>
      <c r="G17" s="96">
        <f>IF(G3&gt;0, 1-G10/G3, "")</f>
        <v/>
      </c>
      <c r="H17" s="96">
        <f>IF(H3&gt;0, 1-H10/H3, "")</f>
        <v/>
      </c>
      <c r="I17" s="96">
        <f>IF(I3&gt;0, 1-I10/I3, "")</f>
        <v/>
      </c>
      <c r="J17" s="96">
        <f>IF(J3&gt;0, 1-J10/J3, "")</f>
        <v/>
      </c>
      <c r="K17" s="96">
        <f>IF(K3&gt;0, 1-K10/K3, "")</f>
        <v/>
      </c>
      <c r="L17" s="96">
        <f>IF(L3&gt;0, 1-L10/L3, "")</f>
        <v/>
      </c>
      <c r="M17" s="96">
        <f>IF(M3&gt;0, 1-M10/M3, "")</f>
        <v/>
      </c>
      <c r="N17" s="97">
        <f>IF(N3&gt;0, 1-N10/N3, "")</f>
        <v/>
      </c>
      <c r="P17" s="17" t="n"/>
      <c r="U17" s="80" t="n"/>
      <c r="V17" s="80" t="n"/>
    </row>
    <row r="18" ht="19" customHeight="1">
      <c r="A18" s="88" t="inlineStr">
        <is>
          <t>JV</t>
        </is>
      </c>
      <c r="B18" s="89" t="inlineStr">
        <is>
          <t>HFPA%</t>
        </is>
      </c>
      <c r="C18" s="96">
        <f>IF(C4&gt;0, 1-C11/C4, "")</f>
        <v/>
      </c>
      <c r="D18" s="96">
        <f>IF(D4&gt;0, 1-D11/D4, "")</f>
        <v/>
      </c>
      <c r="E18" s="96">
        <f>IF(E4&gt;0, 1-E11/E4, "")</f>
        <v/>
      </c>
      <c r="F18" s="96">
        <f>IF(F4&gt;0, 1-F11/F4, "")</f>
        <v/>
      </c>
      <c r="G18" s="96">
        <f>IF(G4&gt;0, 1-G11/G4, "")</f>
        <v/>
      </c>
      <c r="H18" s="96">
        <f>IF(H4&gt;0, 1-H11/H4, "")</f>
        <v/>
      </c>
      <c r="I18" s="96">
        <f>IF(I4&gt;0, 1-I11/I4, "")</f>
        <v/>
      </c>
      <c r="J18" s="96">
        <f>IF(J4&gt;0, 1-J11/J4, "")</f>
        <v/>
      </c>
      <c r="K18" s="96">
        <f>IF(K4&gt;0, 1-K11/K4, "")</f>
        <v/>
      </c>
      <c r="L18" s="96">
        <f>IF(L4&gt;0, 1-L11/L4, "")</f>
        <v/>
      </c>
      <c r="M18" s="96">
        <f>IF(M4&gt;0, 1-M11/M4, "")</f>
        <v/>
      </c>
      <c r="N18" s="97">
        <f>IF(N4&gt;0, 1-N11/N4, "")</f>
        <v/>
      </c>
      <c r="P18" s="17" t="n"/>
      <c r="U18" s="80" t="n"/>
      <c r="V18" s="80" t="n"/>
    </row>
    <row r="19" ht="19" customHeight="1">
      <c r="A19" s="88" t="inlineStr">
        <is>
          <t>JV2</t>
        </is>
      </c>
      <c r="B19" s="89" t="inlineStr">
        <is>
          <t>HFPA%</t>
        </is>
      </c>
      <c r="C19" s="96">
        <f>IF(C5&gt;0, 1-C12/C5, "")</f>
        <v/>
      </c>
      <c r="D19" s="96">
        <f>IF(D5&gt;0, 1-D12/D5, "")</f>
        <v/>
      </c>
      <c r="E19" s="96">
        <f>IF(E5&gt;0, 1-E12/E5, "")</f>
        <v/>
      </c>
      <c r="F19" s="96">
        <f>IF(F5&gt;0, 1-F12/F5, "")</f>
        <v/>
      </c>
      <c r="G19" s="96">
        <f>IF(G5&gt;0, 1-G12/G5, "")</f>
        <v/>
      </c>
      <c r="H19" s="96">
        <f>IF(H5&gt;0, 1-H12/H5, "")</f>
        <v/>
      </c>
      <c r="I19" s="96">
        <f>IF(I5&gt;0, 1-I12/I5, "")</f>
        <v/>
      </c>
      <c r="J19" s="96">
        <f>IF(J5&gt;0, 1-J12/J5, "")</f>
        <v/>
      </c>
      <c r="K19" s="96">
        <f>IF(K5&gt;0, 1-K12/K5, "")</f>
        <v/>
      </c>
      <c r="L19" s="96">
        <f>IF(L5&gt;0, 1-L12/L5, "")</f>
        <v/>
      </c>
      <c r="M19" s="96">
        <f>IF(M5&gt;0, 1-M12/M5, "")</f>
        <v/>
      </c>
      <c r="N19" s="97">
        <f>IF(N5&gt;0, 1-N12/N5, "")</f>
        <v/>
      </c>
      <c r="P19" s="17" t="n"/>
      <c r="U19" s="80" t="n"/>
      <c r="V19" s="80" t="n"/>
    </row>
    <row r="20" ht="20" customHeight="1">
      <c r="A20" s="92" t="inlineStr">
        <is>
          <t>Grand Total</t>
        </is>
      </c>
      <c r="B20" s="93" t="inlineStr">
        <is>
          <t>HFPA%</t>
        </is>
      </c>
      <c r="C20" s="98" t="n"/>
      <c r="D20" s="98" t="n"/>
      <c r="E20" s="98" t="n"/>
      <c r="F20" s="98" t="n"/>
      <c r="G20" s="98" t="n"/>
      <c r="H20" s="100">
        <f>IF(H6&gt;0, 1-H13/H6, "")</f>
        <v/>
      </c>
      <c r="I20" s="100">
        <f>IF(I6&gt;0, 1-I13/I6, "")</f>
        <v/>
      </c>
      <c r="J20" s="100">
        <f>IF(J6&gt;0, 1-J13/J6, "")</f>
        <v/>
      </c>
      <c r="K20" s="98" t="n"/>
      <c r="L20" s="98" t="n"/>
      <c r="M20" s="98" t="n"/>
      <c r="N20" s="101" t="n"/>
      <c r="Q20" s="32" t="n"/>
      <c r="U20" s="80" t="n"/>
      <c r="V20" s="80" t="n"/>
    </row>
    <row r="21" ht="24" customHeight="1">
      <c r="A21" s="80" t="n"/>
      <c r="B21" s="102" t="inlineStr">
        <is>
          <t>Top 5 model (Jun, 2026)</t>
        </is>
      </c>
      <c r="C21" s="84" t="inlineStr">
        <is>
          <t>FTY</t>
        </is>
      </c>
      <c r="D21" s="86" t="inlineStr">
        <is>
          <t>Model</t>
        </is>
      </c>
      <c r="E21" s="86" t="inlineStr">
        <is>
          <t>Insp.</t>
        </is>
      </c>
      <c r="F21" s="86" t="inlineStr">
        <is>
          <t>Def. q'ty (prs)</t>
        </is>
      </c>
      <c r="G21" s="87" t="inlineStr">
        <is>
          <t>HFPA DR%</t>
        </is>
      </c>
      <c r="H21" s="80" t="n"/>
      <c r="I21" s="103" t="n"/>
      <c r="J21" s="104" t="inlineStr">
        <is>
          <t>Top 5 defect (Jun, 2026)</t>
        </is>
      </c>
      <c r="K21" s="105" t="inlineStr">
        <is>
          <t>Factory</t>
        </is>
      </c>
      <c r="L21" s="106" t="inlineStr">
        <is>
          <t>Model</t>
        </is>
      </c>
      <c r="M21" s="106" t="inlineStr">
        <is>
          <t>Cleanness</t>
        </is>
      </c>
      <c r="N21" s="106" t="inlineStr">
        <is>
          <t>Over cement</t>
        </is>
      </c>
      <c r="O21" s="106" t="inlineStr">
        <is>
          <t>Rocking</t>
        </is>
      </c>
      <c r="P21" s="106" t="inlineStr">
        <is>
          <t>Thread end</t>
        </is>
      </c>
      <c r="Q21" s="106" t="inlineStr">
        <is>
          <t>Components inconsistent</t>
        </is>
      </c>
      <c r="R21" s="107" t="inlineStr">
        <is>
          <t>Midsole/Outsole to upper bond gap</t>
        </is>
      </c>
      <c r="S21" s="80" t="n"/>
      <c r="T21" s="80" t="n"/>
      <c r="U21" s="244" t="n"/>
      <c r="V21" s="80" t="n"/>
    </row>
    <row r="22" ht="19" customHeight="1">
      <c r="A22" s="80" t="n"/>
      <c r="B22" s="80" t="n"/>
      <c r="C22" s="108" t="inlineStr">
        <is>
          <t>VH</t>
        </is>
      </c>
      <c r="D22" s="89" t="inlineStr">
        <is>
          <t>NIKE AIR WINFLO 12 (MS/WS)</t>
        </is>
      </c>
      <c r="E22" s="90" t="n">
        <v>229614</v>
      </c>
      <c r="F22" s="90" t="n">
        <v>3512</v>
      </c>
      <c r="G22" s="109">
        <f>F22/E22</f>
        <v/>
      </c>
      <c r="H22" s="110" t="n"/>
      <c r="I22" s="111" t="n"/>
      <c r="J22" s="80" t="n"/>
      <c r="K22" s="112" t="inlineStr">
        <is>
          <t>VH</t>
        </is>
      </c>
      <c r="L22" s="89" t="inlineStr">
        <is>
          <t>NIKE AIR WINFLO 12 (MS/WS)</t>
        </is>
      </c>
      <c r="M22" s="96" t="n">
        <v>0.146748</v>
      </c>
      <c r="N22" s="96" t="n">
        <v>0.129491</v>
      </c>
      <c r="O22" s="96" t="n"/>
      <c r="P22" s="96" t="n">
        <v>0.097844</v>
      </c>
      <c r="Q22" s="96" t="n"/>
      <c r="R22" s="97" t="n"/>
      <c r="S22" s="83" t="n"/>
      <c r="T22" s="83" t="n"/>
      <c r="U22" s="83" t="n"/>
      <c r="V22" s="241" t="n"/>
      <c r="W22" s="24" t="n"/>
    </row>
    <row r="23" ht="19" customHeight="1">
      <c r="A23" s="80" t="n"/>
      <c r="B23" s="80" t="n"/>
      <c r="C23" s="113" t="n"/>
      <c r="D23" s="89" t="inlineStr">
        <is>
          <t>JORDAN SPIZIKE LOW (GS)</t>
        </is>
      </c>
      <c r="E23" s="90" t="n">
        <v>229614</v>
      </c>
      <c r="F23" s="90" t="n">
        <v>2379</v>
      </c>
      <c r="G23" s="109">
        <f>F23/E23</f>
        <v/>
      </c>
      <c r="H23" s="80" t="n"/>
      <c r="I23" s="111" t="n"/>
      <c r="J23" s="80" t="n"/>
      <c r="K23" s="113" t="n"/>
      <c r="L23" s="89" t="inlineStr">
        <is>
          <t>JORDAN SPIZIKE LOW (GS)</t>
        </is>
      </c>
      <c r="M23" s="96" t="n">
        <v>0.180101</v>
      </c>
      <c r="N23" s="96" t="n">
        <v>0.143577</v>
      </c>
      <c r="O23" s="96" t="n"/>
      <c r="P23" s="96" t="n">
        <v>0.154912</v>
      </c>
      <c r="Q23" s="96" t="n"/>
      <c r="R23" s="97" t="n"/>
      <c r="S23" s="83" t="n"/>
      <c r="T23" s="83" t="n"/>
      <c r="U23" s="83" t="n"/>
      <c r="V23" s="241" t="n"/>
      <c r="W23" s="24" t="n"/>
    </row>
    <row r="24" ht="19" customHeight="1">
      <c r="A24" s="80" t="n"/>
      <c r="B24" s="80" t="n"/>
      <c r="C24" s="113" t="n"/>
      <c r="D24" s="89" t="inlineStr">
        <is>
          <t>NIKE SB FORCE 58</t>
        </is>
      </c>
      <c r="E24" s="90" t="n">
        <v>229614</v>
      </c>
      <c r="F24" s="90" t="n">
        <v>2171</v>
      </c>
      <c r="G24" s="109">
        <f>F24/E24</f>
        <v/>
      </c>
      <c r="H24" s="110" t="n"/>
      <c r="I24" s="111" t="n"/>
      <c r="J24" s="114" t="n"/>
      <c r="K24" s="113" t="n"/>
      <c r="L24" s="89" t="inlineStr">
        <is>
          <t>NIKE SB FORCE 58</t>
        </is>
      </c>
      <c r="M24" s="96" t="n">
        <v>0.220952</v>
      </c>
      <c r="N24" s="96" t="n">
        <v>0.23513</v>
      </c>
      <c r="O24" s="96" t="n"/>
      <c r="P24" s="96" t="n"/>
      <c r="Q24" s="96" t="n">
        <v>0.126007</v>
      </c>
      <c r="R24" s="97" t="n"/>
      <c r="S24" s="83" t="n"/>
      <c r="T24" s="83" t="n"/>
      <c r="U24" s="83" t="n"/>
      <c r="V24" s="241" t="n"/>
      <c r="W24" s="24" t="n"/>
    </row>
    <row r="25" ht="19" customHeight="1">
      <c r="A25" s="80" t="n"/>
      <c r="B25" s="80" t="n"/>
      <c r="C25" s="113" t="n"/>
      <c r="D25" s="89" t="inlineStr">
        <is>
          <t>AIR JORDAN 1 LOW SE (MS/WS)</t>
        </is>
      </c>
      <c r="E25" s="90" t="n">
        <v>229614</v>
      </c>
      <c r="F25" s="90" t="n">
        <v>1651</v>
      </c>
      <c r="G25" s="109">
        <f>F25/E25</f>
        <v/>
      </c>
      <c r="H25" s="110" t="n"/>
      <c r="I25" s="111" t="n"/>
      <c r="J25" s="114" t="n"/>
      <c r="K25" s="113" t="n"/>
      <c r="L25" s="89" t="inlineStr">
        <is>
          <t>AIR JORDAN 1 LOW SE (MS/WS)</t>
        </is>
      </c>
      <c r="M25" s="96" t="n">
        <v>0.172078</v>
      </c>
      <c r="N25" s="96" t="n">
        <v>0.168405</v>
      </c>
      <c r="O25" s="96" t="n">
        <v>0.126276</v>
      </c>
      <c r="P25" s="96" t="n"/>
      <c r="Q25" s="96" t="n"/>
      <c r="R25" s="97" t="n"/>
      <c r="S25" s="83" t="n"/>
      <c r="T25" s="83" t="n"/>
      <c r="U25" s="83" t="n"/>
      <c r="V25" s="241" t="n"/>
      <c r="W25" s="24" t="n"/>
    </row>
    <row r="26" ht="19" customHeight="1">
      <c r="A26" s="80" t="n"/>
      <c r="B26" s="80" t="n"/>
      <c r="C26" s="115" t="n"/>
      <c r="D26" s="116" t="inlineStr">
        <is>
          <t>WMNS BENASSI JDI</t>
        </is>
      </c>
      <c r="E26" s="117" t="n">
        <v>229614</v>
      </c>
      <c r="F26" s="117" t="n">
        <v>1409</v>
      </c>
      <c r="G26" s="118">
        <f>F26/E26</f>
        <v/>
      </c>
      <c r="H26" s="110" t="n"/>
      <c r="I26" s="111" t="n"/>
      <c r="J26" s="114" t="n"/>
      <c r="K26" s="115" t="n"/>
      <c r="L26" s="116" t="inlineStr">
        <is>
          <t>WMNS BENASSI JDI</t>
        </is>
      </c>
      <c r="M26" s="119" t="n">
        <v>0.206529</v>
      </c>
      <c r="N26" s="119" t="n"/>
      <c r="O26" s="119" t="n">
        <v>0.149752</v>
      </c>
      <c r="P26" s="119" t="n"/>
      <c r="Q26" s="119" t="n"/>
      <c r="R26" s="120" t="n">
        <v>0.125621</v>
      </c>
      <c r="S26" s="83" t="n"/>
      <c r="T26" s="83" t="n"/>
      <c r="U26" s="83" t="n"/>
      <c r="V26" s="241" t="n"/>
      <c r="W26" s="24" t="n"/>
    </row>
    <row r="27" ht="24" customHeight="1">
      <c r="A27" s="80" t="n"/>
      <c r="B27" s="80" t="n"/>
      <c r="C27" s="84" t="inlineStr">
        <is>
          <t>FTY</t>
        </is>
      </c>
      <c r="D27" s="86" t="inlineStr">
        <is>
          <t>Model</t>
        </is>
      </c>
      <c r="E27" s="86" t="inlineStr">
        <is>
          <t>Insp.</t>
        </is>
      </c>
      <c r="F27" s="86" t="inlineStr">
        <is>
          <t>Def. q'ty (prs)</t>
        </is>
      </c>
      <c r="G27" s="87" t="inlineStr">
        <is>
          <t>HFPA DR%</t>
        </is>
      </c>
      <c r="H27" s="110" t="n"/>
      <c r="I27" s="103" t="n"/>
      <c r="J27" s="114" t="n"/>
      <c r="K27" s="121" t="inlineStr">
        <is>
          <t>Factory</t>
        </is>
      </c>
      <c r="L27" s="106" t="inlineStr">
        <is>
          <t>Model</t>
        </is>
      </c>
      <c r="M27" s="122" t="inlineStr">
        <is>
          <t>Cleanness</t>
        </is>
      </c>
      <c r="N27" s="122" t="inlineStr">
        <is>
          <t>Thread end</t>
        </is>
      </c>
      <c r="O27" s="106" t="inlineStr">
        <is>
          <t>Over cement</t>
        </is>
      </c>
      <c r="P27" s="122" t="inlineStr">
        <is>
          <t>Airbag quality/stain</t>
        </is>
      </c>
      <c r="Q27" s="107" t="inlineStr">
        <is>
          <t>Midsole/Outsole to upper bond gap</t>
        </is>
      </c>
      <c r="R27" s="80" t="n"/>
      <c r="S27" s="80" t="n"/>
      <c r="T27" s="80" t="n"/>
      <c r="U27" s="244" t="n"/>
      <c r="V27" s="80" t="n"/>
    </row>
    <row r="28" ht="19" customHeight="1">
      <c r="A28" s="80" t="n"/>
      <c r="B28" s="80" t="n"/>
      <c r="C28" s="108" t="inlineStr">
        <is>
          <t>VH2</t>
        </is>
      </c>
      <c r="D28" s="89" t="inlineStr">
        <is>
          <t>NIKE INITIATOR (MS/WS)</t>
        </is>
      </c>
      <c r="E28" s="90" t="n">
        <v>187587</v>
      </c>
      <c r="F28" s="90" t="n">
        <v>5790</v>
      </c>
      <c r="G28" s="109">
        <f>F28/E28</f>
        <v/>
      </c>
      <c r="H28" s="80" t="n"/>
      <c r="I28" s="103" t="n"/>
      <c r="J28" s="80" t="n"/>
      <c r="K28" s="112" t="inlineStr">
        <is>
          <t>VH2</t>
        </is>
      </c>
      <c r="L28" s="89" t="inlineStr">
        <is>
          <t>NIKE INITIATOR (MS/WS)</t>
        </is>
      </c>
      <c r="M28" s="123" t="n">
        <v>0.139047</v>
      </c>
      <c r="N28" s="123" t="n">
        <v>0.09327100000000001</v>
      </c>
      <c r="O28" s="123" t="n">
        <v>0.115815</v>
      </c>
      <c r="P28" s="123" t="n"/>
      <c r="Q28" s="124" t="n"/>
      <c r="R28" s="80" t="n"/>
      <c r="S28" s="80" t="n"/>
      <c r="T28" s="80" t="n"/>
      <c r="U28" s="80" t="n"/>
      <c r="V28" s="245" t="n"/>
    </row>
    <row r="29" ht="19" customHeight="1">
      <c r="A29" s="80" t="n"/>
      <c r="B29" s="80" t="n"/>
      <c r="C29" s="113" t="n"/>
      <c r="D29" s="89" t="inlineStr">
        <is>
          <t>NIKE RUN DEFY (MS/WS)</t>
        </is>
      </c>
      <c r="E29" s="90" t="n">
        <v>187587</v>
      </c>
      <c r="F29" s="90" t="n">
        <v>3939</v>
      </c>
      <c r="G29" s="109">
        <f>F29/E29</f>
        <v/>
      </c>
      <c r="H29" s="80" t="n"/>
      <c r="I29" s="103" t="n"/>
      <c r="J29" s="80" t="n"/>
      <c r="K29" s="113" t="n"/>
      <c r="L29" s="89" t="inlineStr">
        <is>
          <t>NIKE RUN DEFY (MS/WS)</t>
        </is>
      </c>
      <c r="M29" s="96" t="n">
        <v>0.14329</v>
      </c>
      <c r="N29" s="96" t="n">
        <v>0.117513</v>
      </c>
      <c r="O29" s="96" t="n">
        <v>0.112964</v>
      </c>
      <c r="P29" s="96" t="n"/>
      <c r="Q29" s="97" t="n"/>
      <c r="R29" s="83" t="n"/>
      <c r="S29" s="83" t="n"/>
      <c r="T29" s="83" t="n"/>
      <c r="U29" s="83" t="n"/>
      <c r="V29" s="241" t="n"/>
      <c r="W29" s="24" t="n"/>
    </row>
    <row r="30" ht="19" customHeight="1">
      <c r="A30" s="80" t="n"/>
      <c r="B30" s="80" t="n"/>
      <c r="C30" s="113" t="n"/>
      <c r="D30" s="89" t="inlineStr">
        <is>
          <t>NIKE AIR MAX EXCEE (MS/WS)</t>
        </is>
      </c>
      <c r="E30" s="90" t="n">
        <v>187587</v>
      </c>
      <c r="F30" s="90" t="n">
        <v>3616</v>
      </c>
      <c r="G30" s="109">
        <f>F30/E30</f>
        <v/>
      </c>
      <c r="H30" s="80" t="n"/>
      <c r="I30" s="103" t="n"/>
      <c r="J30" s="80" t="n"/>
      <c r="K30" s="113" t="n"/>
      <c r="L30" s="89" t="inlineStr">
        <is>
          <t>NIKE AIR MAX EXCEE (MS/WS)</t>
        </is>
      </c>
      <c r="M30" s="96" t="n">
        <v>0.185542</v>
      </c>
      <c r="N30" s="96" t="n">
        <v>0.138813</v>
      </c>
      <c r="O30" s="96" t="n">
        <v>0.121495</v>
      </c>
      <c r="P30" s="96" t="n"/>
      <c r="Q30" s="97" t="n"/>
      <c r="R30" s="83" t="n"/>
      <c r="S30" s="83" t="n"/>
      <c r="T30" s="83" t="n"/>
      <c r="U30" s="83" t="n"/>
      <c r="V30" s="241" t="n"/>
      <c r="W30" s="24" t="n"/>
    </row>
    <row r="31" ht="19" customHeight="1">
      <c r="A31" s="80" t="n"/>
      <c r="B31" s="80" t="n"/>
      <c r="C31" s="113" t="n"/>
      <c r="D31" s="89" t="inlineStr">
        <is>
          <t>NIKE UPLIFT SC (MS/WS)</t>
        </is>
      </c>
      <c r="E31" s="90" t="n">
        <v>187587</v>
      </c>
      <c r="F31" s="90" t="n">
        <v>1690</v>
      </c>
      <c r="G31" s="109">
        <f>F31/E31</f>
        <v/>
      </c>
      <c r="H31" s="80" t="n"/>
      <c r="I31" s="103" t="n"/>
      <c r="J31" s="80" t="n"/>
      <c r="K31" s="113" t="n"/>
      <c r="L31" s="89" t="inlineStr">
        <is>
          <t>NIKE UPLIFT SC (MS/WS)</t>
        </is>
      </c>
      <c r="M31" s="96" t="n">
        <v>0.157343</v>
      </c>
      <c r="N31" s="96" t="n"/>
      <c r="O31" s="96" t="n">
        <v>0.096737</v>
      </c>
      <c r="P31" s="96" t="n"/>
      <c r="Q31" s="97" t="n">
        <v>0.088578</v>
      </c>
      <c r="R31" s="83" t="n"/>
      <c r="S31" s="83" t="n"/>
      <c r="T31" s="83" t="n"/>
      <c r="U31" s="83" t="n"/>
      <c r="V31" s="241" t="n"/>
      <c r="W31" s="24" t="n"/>
    </row>
    <row r="32" ht="19" customHeight="1">
      <c r="A32" s="80" t="n"/>
      <c r="B32" s="80" t="n"/>
      <c r="C32" s="115" t="n"/>
      <c r="D32" s="116" t="inlineStr">
        <is>
          <t>NIKE AIR MAX SC (MS/WS)</t>
        </is>
      </c>
      <c r="E32" s="117" t="n">
        <v>187587</v>
      </c>
      <c r="F32" s="117" t="n">
        <v>1480</v>
      </c>
      <c r="G32" s="118">
        <f>F32/E32</f>
        <v/>
      </c>
      <c r="H32" s="80" t="n"/>
      <c r="I32" s="103" t="n"/>
      <c r="J32" s="80" t="n"/>
      <c r="K32" s="115" t="n"/>
      <c r="L32" s="116" t="inlineStr">
        <is>
          <t>NIKE AIR MAX SC (MS/WS)</t>
        </is>
      </c>
      <c r="M32" s="119" t="n">
        <v>0.120352</v>
      </c>
      <c r="N32" s="119" t="n">
        <v>0.121028</v>
      </c>
      <c r="O32" s="119" t="n"/>
      <c r="P32" s="119" t="n">
        <v>0.114943</v>
      </c>
      <c r="Q32" s="120" t="n"/>
      <c r="R32" s="83" t="n"/>
      <c r="S32" s="83" t="n"/>
      <c r="T32" s="83" t="n"/>
      <c r="U32" s="83" t="n"/>
      <c r="V32" s="241" t="n"/>
      <c r="W32" s="24" t="n"/>
    </row>
    <row r="33" ht="24" customHeight="1">
      <c r="A33" s="80" t="n"/>
      <c r="B33" s="80" t="n"/>
      <c r="C33" s="84" t="inlineStr">
        <is>
          <t>FTY</t>
        </is>
      </c>
      <c r="D33" s="86" t="inlineStr">
        <is>
          <t>Model</t>
        </is>
      </c>
      <c r="E33" s="86" t="inlineStr">
        <is>
          <t>Insp.</t>
        </is>
      </c>
      <c r="F33" s="86" t="inlineStr">
        <is>
          <t>Def. q'ty (prs)</t>
        </is>
      </c>
      <c r="G33" s="87" t="inlineStr">
        <is>
          <t>HFPA DR%</t>
        </is>
      </c>
      <c r="H33" s="80" t="n"/>
      <c r="I33" s="103" t="n"/>
      <c r="J33" s="80" t="n"/>
      <c r="K33" s="121" t="inlineStr">
        <is>
          <t>Factory</t>
        </is>
      </c>
      <c r="L33" s="106" t="inlineStr">
        <is>
          <t>Model</t>
        </is>
      </c>
      <c r="M33" s="122" t="inlineStr">
        <is>
          <t>Cleanness</t>
        </is>
      </c>
      <c r="N33" s="122" t="inlineStr">
        <is>
          <t>Over cement</t>
        </is>
      </c>
      <c r="O33" s="122" t="inlineStr">
        <is>
          <t>Thread end</t>
        </is>
      </c>
      <c r="P33" s="125" t="inlineStr">
        <is>
          <t>Sole attachment</t>
        </is>
      </c>
      <c r="Q33" s="232" t="n"/>
      <c r="R33" s="83" t="n"/>
      <c r="S33" s="83" t="n"/>
      <c r="T33" s="83" t="n"/>
      <c r="U33" s="246" t="n"/>
      <c r="V33" s="80" t="n"/>
      <c r="W33" s="24" t="n"/>
    </row>
    <row r="34" ht="19" customHeight="1">
      <c r="A34" s="80" t="n"/>
      <c r="B34" s="80" t="n"/>
      <c r="C34" s="108" t="inlineStr">
        <is>
          <t>JV</t>
        </is>
      </c>
      <c r="D34" s="89" t="inlineStr">
        <is>
          <t>NIKE INITIATOR (MS/WS)</t>
        </is>
      </c>
      <c r="E34" s="90" t="n">
        <v>91617</v>
      </c>
      <c r="F34" s="90" t="n">
        <v>2911</v>
      </c>
      <c r="G34" s="109">
        <f>F34/E34</f>
        <v/>
      </c>
      <c r="H34" s="80" t="n"/>
      <c r="I34" s="103" t="n"/>
      <c r="J34" s="80" t="n"/>
      <c r="K34" s="112" t="inlineStr">
        <is>
          <t>JV</t>
        </is>
      </c>
      <c r="L34" s="89" t="inlineStr">
        <is>
          <t>NIKE INITIATOR (MS/WS)</t>
        </is>
      </c>
      <c r="M34" s="96" t="n">
        <v>0.107877</v>
      </c>
      <c r="N34" s="96" t="n">
        <v>0.162329</v>
      </c>
      <c r="O34" s="96" t="n">
        <v>0.114726</v>
      </c>
      <c r="P34" s="124" t="n"/>
      <c r="Q34" s="233" t="n"/>
      <c r="R34" s="80" t="n"/>
      <c r="S34" s="80" t="n"/>
      <c r="T34" s="80" t="n"/>
      <c r="U34" s="80" t="n"/>
      <c r="V34" s="245" t="n"/>
    </row>
    <row r="35" ht="19" customHeight="1">
      <c r="A35" s="80" t="n"/>
      <c r="B35" s="80" t="n"/>
      <c r="C35" s="113" t="n"/>
      <c r="D35" s="89" t="inlineStr">
        <is>
          <t>NIKE EBERNON LOW (MS/WS)</t>
        </is>
      </c>
      <c r="E35" s="90" t="n">
        <v>91617</v>
      </c>
      <c r="F35" s="90" t="n">
        <v>1819</v>
      </c>
      <c r="G35" s="109">
        <f>F35/E35</f>
        <v/>
      </c>
      <c r="H35" s="80" t="n"/>
      <c r="I35" s="103" t="n"/>
      <c r="J35" s="80" t="n"/>
      <c r="K35" s="113" t="n"/>
      <c r="L35" s="89" t="inlineStr">
        <is>
          <t>NIKE EBERNON LOW (MS/WS)</t>
        </is>
      </c>
      <c r="M35" s="123" t="n">
        <v>0.166272</v>
      </c>
      <c r="N35" s="123" t="n">
        <v>0.135007</v>
      </c>
      <c r="O35" s="123" t="n">
        <v>0.092847</v>
      </c>
      <c r="P35" s="124" t="n"/>
      <c r="Q35" s="233" t="n"/>
      <c r="R35" s="80" t="n"/>
      <c r="S35" s="80" t="n"/>
      <c r="T35" s="80" t="n"/>
      <c r="U35" s="80" t="n"/>
      <c r="V35" s="245" t="n"/>
    </row>
    <row r="36" ht="19" customHeight="1">
      <c r="A36" s="80" t="n"/>
      <c r="B36" s="80" t="n"/>
      <c r="C36" s="113" t="n"/>
      <c r="D36" s="89" t="inlineStr">
        <is>
          <t>NIKE AIR MAX SC (MS/WS)</t>
        </is>
      </c>
      <c r="E36" s="90" t="n">
        <v>91617</v>
      </c>
      <c r="F36" s="90" t="n">
        <v>1258</v>
      </c>
      <c r="G36" s="109">
        <f>F36/E36</f>
        <v/>
      </c>
      <c r="H36" s="80" t="n"/>
      <c r="I36" s="103" t="n"/>
      <c r="J36" s="80" t="n"/>
      <c r="K36" s="113" t="n"/>
      <c r="L36" s="89" t="inlineStr">
        <is>
          <t>NIKE AIR MAX SC (MS/WS)</t>
        </is>
      </c>
      <c r="M36" s="96" t="n">
        <v>0.198728</v>
      </c>
      <c r="N36" s="96" t="n">
        <v>0.163752</v>
      </c>
      <c r="O36" s="96" t="n"/>
      <c r="P36" s="97" t="n">
        <v>0.08267099999999999</v>
      </c>
      <c r="Q36" s="231" t="n"/>
      <c r="R36" s="83" t="n"/>
      <c r="S36" s="83" t="n"/>
      <c r="T36" s="83" t="n"/>
      <c r="U36" s="83" t="n"/>
      <c r="V36" s="241" t="n"/>
      <c r="W36" s="24" t="n"/>
    </row>
    <row r="37" ht="19" customHeight="1">
      <c r="A37" s="80" t="n"/>
      <c r="B37" s="80" t="n"/>
      <c r="C37" s="113" t="n"/>
      <c r="D37" s="89" t="inlineStr">
        <is>
          <t>NIKE COURT VISION LOW (MS/WS)</t>
        </is>
      </c>
      <c r="E37" s="90" t="n">
        <v>91617</v>
      </c>
      <c r="F37" s="90" t="n">
        <v>687</v>
      </c>
      <c r="G37" s="109">
        <f>F37/E37</f>
        <v/>
      </c>
      <c r="H37" s="80" t="n"/>
      <c r="I37" s="103" t="n"/>
      <c r="J37" s="80" t="n"/>
      <c r="K37" s="113" t="n"/>
      <c r="L37" s="89" t="inlineStr">
        <is>
          <t>NIKE COURT VISION LOW (MS/WS)</t>
        </is>
      </c>
      <c r="M37" s="96" t="n">
        <v>0.126961</v>
      </c>
      <c r="N37" s="96" t="n">
        <v>0.11127</v>
      </c>
      <c r="O37" s="96" t="n">
        <v>0.108417</v>
      </c>
      <c r="P37" s="97" t="n"/>
      <c r="Q37" s="231" t="n"/>
      <c r="R37" s="83" t="n"/>
      <c r="S37" s="83" t="n"/>
      <c r="T37" s="83" t="n"/>
      <c r="U37" s="83" t="n"/>
      <c r="V37" s="241" t="n"/>
      <c r="W37" s="24" t="n"/>
    </row>
    <row r="38" ht="19" customHeight="1">
      <c r="A38" s="80" t="n"/>
      <c r="B38" s="80" t="n"/>
      <c r="C38" s="115" t="n"/>
      <c r="D38" s="116" t="inlineStr">
        <is>
          <t>NIKE AIR MAX MOTION 2 (MS/WS)</t>
        </is>
      </c>
      <c r="E38" s="117" t="n">
        <v>91617</v>
      </c>
      <c r="F38" s="117" t="n">
        <v>613</v>
      </c>
      <c r="G38" s="118">
        <f>F38/E38</f>
        <v/>
      </c>
      <c r="H38" s="80" t="n"/>
      <c r="I38" s="103" t="n"/>
      <c r="J38" s="80" t="n"/>
      <c r="K38" s="115" t="n"/>
      <c r="L38" s="116" t="inlineStr">
        <is>
          <t>NIKE AIR MAX MOTION 2 (MS/WS)</t>
        </is>
      </c>
      <c r="M38" s="119" t="n">
        <v>0.135179</v>
      </c>
      <c r="N38" s="119" t="n">
        <v>0.135179</v>
      </c>
      <c r="O38" s="119" t="n">
        <v>0.153094</v>
      </c>
      <c r="P38" s="120" t="n"/>
      <c r="Q38" s="231" t="n"/>
      <c r="R38" s="83" t="n"/>
      <c r="S38" s="83" t="n"/>
      <c r="T38" s="83" t="n"/>
      <c r="U38" s="83" t="n"/>
      <c r="V38" s="241" t="n"/>
      <c r="W38" s="24" t="n"/>
    </row>
    <row r="39" ht="24" customHeight="1">
      <c r="A39" s="80" t="n"/>
      <c r="B39" s="80" t="n"/>
      <c r="C39" s="84" t="inlineStr">
        <is>
          <t>FTY</t>
        </is>
      </c>
      <c r="D39" s="86" t="inlineStr">
        <is>
          <t>Model</t>
        </is>
      </c>
      <c r="E39" s="86" t="inlineStr">
        <is>
          <t>Insp.</t>
        </is>
      </c>
      <c r="F39" s="86" t="inlineStr">
        <is>
          <t>Def. q'ty (prs)</t>
        </is>
      </c>
      <c r="G39" s="87" t="inlineStr">
        <is>
          <t>HFPA DR%</t>
        </is>
      </c>
      <c r="H39" s="80" t="n"/>
      <c r="I39" s="103" t="n"/>
      <c r="J39" s="80" t="n"/>
      <c r="K39" s="121" t="inlineStr">
        <is>
          <t>Factory</t>
        </is>
      </c>
      <c r="L39" s="106" t="inlineStr">
        <is>
          <t>Model</t>
        </is>
      </c>
      <c r="M39" s="122" t="inlineStr">
        <is>
          <t>Cleanness</t>
        </is>
      </c>
      <c r="N39" s="122" t="inlineStr">
        <is>
          <t>Over cement</t>
        </is>
      </c>
      <c r="O39" s="122" t="inlineStr">
        <is>
          <t>Thread end</t>
        </is>
      </c>
      <c r="P39" s="122" t="inlineStr">
        <is>
          <t>Toe off center</t>
        </is>
      </c>
      <c r="Q39" s="122" t="inlineStr">
        <is>
          <t>Heel/Tip height inconsistent</t>
        </is>
      </c>
      <c r="R39" s="125" t="inlineStr">
        <is>
          <t>Rocking</t>
        </is>
      </c>
      <c r="S39" s="83" t="n"/>
      <c r="T39" s="83" t="n"/>
      <c r="U39" s="246" t="n"/>
      <c r="V39" s="80" t="n"/>
      <c r="W39" s="24" t="n"/>
    </row>
    <row r="40" ht="19" customHeight="1">
      <c r="A40" s="80" t="n"/>
      <c r="B40" s="80" t="n"/>
      <c r="C40" s="108" t="inlineStr">
        <is>
          <t>JV2</t>
        </is>
      </c>
      <c r="D40" s="89" t="inlineStr">
        <is>
          <t>NIKE COURT VISION LOW (MS/WS)</t>
        </is>
      </c>
      <c r="E40" s="90" t="n">
        <v>93287</v>
      </c>
      <c r="F40" s="90" t="n">
        <v>928</v>
      </c>
      <c r="G40" s="109">
        <f>F40/E40</f>
        <v/>
      </c>
      <c r="H40" s="80" t="n"/>
      <c r="I40" s="103" t="n"/>
      <c r="J40" s="80" t="n"/>
      <c r="K40" s="108" t="inlineStr">
        <is>
          <t>JV2</t>
        </is>
      </c>
      <c r="L40" s="89" t="inlineStr">
        <is>
          <t>NIKE COURT VISION LOW (MS/WS)</t>
        </is>
      </c>
      <c r="M40" s="96" t="n">
        <v>0.145022</v>
      </c>
      <c r="N40" s="96" t="n">
        <v>0.1829</v>
      </c>
      <c r="O40" s="96" t="n">
        <v>0.102814</v>
      </c>
      <c r="P40" s="96" t="n"/>
      <c r="Q40" s="96" t="n"/>
      <c r="R40" s="97" t="n"/>
      <c r="S40" s="83" t="n"/>
      <c r="T40" s="83" t="n"/>
      <c r="U40" s="83" t="n"/>
      <c r="V40" s="241" t="n"/>
      <c r="W40" s="24" t="n"/>
    </row>
    <row r="41" ht="19" customHeight="1">
      <c r="A41" s="80" t="n"/>
      <c r="B41" s="80" t="n"/>
      <c r="C41" s="113" t="n"/>
      <c r="D41" s="89" t="inlineStr">
        <is>
          <t>AIR JORDAN 1 MID SE (GS)</t>
        </is>
      </c>
      <c r="E41" s="90" t="n">
        <v>93287</v>
      </c>
      <c r="F41" s="90" t="n">
        <v>586</v>
      </c>
      <c r="G41" s="109">
        <f>F41/E41</f>
        <v/>
      </c>
      <c r="H41" s="80" t="n"/>
      <c r="I41" s="103" t="n"/>
      <c r="J41" s="80" t="n"/>
      <c r="K41" s="113" t="n"/>
      <c r="L41" s="89" t="inlineStr">
        <is>
          <t>AIR JORDAN 1 MID SE (GS)</t>
        </is>
      </c>
      <c r="M41" s="96" t="n">
        <v>0.2496</v>
      </c>
      <c r="N41" s="96" t="n">
        <v>0.1136</v>
      </c>
      <c r="O41" s="96" t="n"/>
      <c r="P41" s="123" t="n"/>
      <c r="Q41" s="123" t="n">
        <v>0.0912</v>
      </c>
      <c r="R41" s="97" t="n"/>
      <c r="S41" s="80" t="n"/>
      <c r="T41" s="80" t="n"/>
      <c r="U41" s="80" t="n"/>
      <c r="V41" s="245" t="n"/>
    </row>
    <row r="42" ht="19" customHeight="1">
      <c r="A42" s="80" t="n"/>
      <c r="B42" s="80" t="n"/>
      <c r="C42" s="113" t="n"/>
      <c r="D42" s="89" t="inlineStr">
        <is>
          <t>JORDAN 1 MID SE (PS/TD)</t>
        </is>
      </c>
      <c r="E42" s="90" t="n">
        <v>93287</v>
      </c>
      <c r="F42" s="90" t="n">
        <v>571</v>
      </c>
      <c r="G42" s="109">
        <f>F42/E42</f>
        <v/>
      </c>
      <c r="H42" s="80" t="n"/>
      <c r="I42" s="80" t="n"/>
      <c r="J42" s="80" t="n"/>
      <c r="K42" s="113" t="n"/>
      <c r="L42" s="89" t="inlineStr">
        <is>
          <t>JORDAN 1 MID SE (PS/TD)</t>
        </is>
      </c>
      <c r="M42" s="123" t="n">
        <v>0.144737</v>
      </c>
      <c r="N42" s="123" t="n">
        <v>0.184211</v>
      </c>
      <c r="O42" s="123" t="n">
        <v>0.086257</v>
      </c>
      <c r="P42" s="123" t="n"/>
      <c r="Q42" s="123" t="n"/>
      <c r="R42" s="247" t="n"/>
      <c r="S42" s="80" t="n"/>
      <c r="T42" s="80" t="n"/>
      <c r="U42" s="80" t="n"/>
      <c r="V42" s="245" t="n"/>
    </row>
    <row r="43" ht="19" customHeight="1">
      <c r="A43" s="80" t="n"/>
      <c r="B43" s="80" t="n"/>
      <c r="C43" s="113" t="n"/>
      <c r="D43" s="89" t="inlineStr">
        <is>
          <t>NIKE INITIATOR (MS/WS)</t>
        </is>
      </c>
      <c r="E43" s="90" t="n">
        <v>93287</v>
      </c>
      <c r="F43" s="90" t="n">
        <v>563</v>
      </c>
      <c r="G43" s="109">
        <f>F43/E43</f>
        <v/>
      </c>
      <c r="H43" s="80" t="n"/>
      <c r="I43" s="80" t="n"/>
      <c r="J43" s="80" t="n"/>
      <c r="K43" s="113" t="n"/>
      <c r="L43" s="89" t="inlineStr">
        <is>
          <t>NIKE INITIATOR (MS/WS)</t>
        </is>
      </c>
      <c r="M43" s="96" t="n">
        <v>0.117229</v>
      </c>
      <c r="N43" s="96" t="n">
        <v>0.111901</v>
      </c>
      <c r="O43" s="96" t="n"/>
      <c r="P43" s="96" t="n">
        <v>0.094139</v>
      </c>
      <c r="Q43" s="96" t="n"/>
      <c r="R43" s="97" t="n"/>
      <c r="S43" s="83" t="n"/>
      <c r="T43" s="83" t="n"/>
      <c r="U43" s="83" t="n"/>
      <c r="V43" s="241" t="n"/>
      <c r="W43" s="24" t="n"/>
    </row>
    <row r="44" ht="19" customHeight="1">
      <c r="A44" s="80" t="n"/>
      <c r="B44" s="80" t="n"/>
      <c r="C44" s="115" t="n"/>
      <c r="D44" s="116" t="inlineStr">
        <is>
          <t>AIR JORDAN 1 LOW (MS/WS)</t>
        </is>
      </c>
      <c r="E44" s="117" t="n">
        <v>93287</v>
      </c>
      <c r="F44" s="117" t="n">
        <v>440</v>
      </c>
      <c r="G44" s="118">
        <f>F44/E44</f>
        <v/>
      </c>
      <c r="H44" s="80" t="n"/>
      <c r="I44" s="80" t="n"/>
      <c r="J44" s="80" t="n"/>
      <c r="K44" s="115" t="n"/>
      <c r="L44" s="116" t="inlineStr">
        <is>
          <t>AIR JORDAN 1 LOW (MS/WS)</t>
        </is>
      </c>
      <c r="M44" s="119" t="n">
        <v>0.153565</v>
      </c>
      <c r="N44" s="119" t="n">
        <v>0.159049</v>
      </c>
      <c r="O44" s="119" t="n"/>
      <c r="P44" s="119" t="n"/>
      <c r="Q44" s="119" t="n"/>
      <c r="R44" s="120" t="n">
        <v>0.084095</v>
      </c>
      <c r="S44" s="83" t="n"/>
      <c r="T44" s="83" t="n"/>
      <c r="U44" s="83" t="n"/>
      <c r="V44" s="241" t="n"/>
      <c r="W44" s="24" t="n"/>
    </row>
    <row r="45" ht="14" customHeight="1">
      <c r="A45" s="80" t="n"/>
      <c r="B45" s="80" t="n"/>
      <c r="C45" s="80" t="n"/>
      <c r="D45" s="80" t="n"/>
      <c r="E45" s="80" t="n"/>
      <c r="F45" s="80" t="n"/>
      <c r="G45" s="80" t="n"/>
      <c r="H45" s="80" t="n"/>
      <c r="I45" s="80" t="n"/>
      <c r="J45" s="80" t="n"/>
      <c r="K45" s="80" t="n"/>
      <c r="L45" s="81" t="n"/>
      <c r="M45" s="82" t="n"/>
      <c r="N45" s="82" t="n"/>
      <c r="O45" s="82" t="n"/>
      <c r="P45" s="82" t="n"/>
      <c r="Q45" s="82" t="n"/>
      <c r="R45" s="83" t="n"/>
      <c r="S45" s="83" t="n"/>
      <c r="T45" s="83" t="n"/>
      <c r="U45" s="83" t="n"/>
      <c r="V45" s="83" t="n"/>
      <c r="W45" s="83" t="n"/>
      <c r="X45" s="80" t="n"/>
    </row>
    <row r="46" ht="22" customHeight="1">
      <c r="A46" s="80" t="n"/>
      <c r="B46" s="80" t="n"/>
      <c r="C46" s="80" t="n"/>
      <c r="D46" s="80" t="n"/>
      <c r="E46" s="80" t="n"/>
      <c r="F46" s="80" t="n"/>
      <c r="G46" s="80" t="n"/>
      <c r="H46" s="80" t="n"/>
      <c r="I46" s="80" t="n"/>
      <c r="J46" s="80" t="n"/>
      <c r="K46" s="248" t="inlineStr">
        <is>
          <t>Defect Color Legend by Factory (Jun, 2026)</t>
        </is>
      </c>
      <c r="L46" s="81" t="n"/>
      <c r="M46" s="82" t="n"/>
      <c r="N46" s="82" t="n"/>
      <c r="O46" s="82" t="n"/>
      <c r="P46" s="82" t="n"/>
      <c r="Q46" s="82" t="n"/>
      <c r="R46" s="83" t="n"/>
      <c r="S46" s="83" t="n"/>
      <c r="T46" s="83" t="n"/>
      <c r="U46" s="83" t="n"/>
      <c r="V46" s="83" t="n"/>
      <c r="W46" s="83" t="n"/>
      <c r="X46" s="80" t="n"/>
    </row>
    <row r="47" ht="8" customHeight="1">
      <c r="A47" s="80" t="n"/>
      <c r="B47" s="80" t="n"/>
      <c r="C47" s="80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1" t="n"/>
      <c r="M47" s="82" t="n"/>
      <c r="N47" s="82" t="n"/>
      <c r="O47" s="82" t="n"/>
      <c r="P47" s="82" t="n"/>
      <c r="Q47" s="82" t="n"/>
      <c r="R47" s="83" t="n"/>
      <c r="S47" s="83" t="n"/>
      <c r="T47" s="83" t="n"/>
      <c r="U47" s="83" t="n"/>
      <c r="V47" s="83" t="n"/>
      <c r="W47" s="83" t="n"/>
      <c r="X47" s="80" t="n"/>
    </row>
    <row r="48" ht="20" customHeight="1">
      <c r="A48" s="80" t="n"/>
      <c r="B48" s="80" t="n"/>
      <c r="C48" s="80" t="n"/>
      <c r="D48" s="80" t="n"/>
      <c r="E48" s="80" t="n"/>
      <c r="F48" s="80" t="n"/>
      <c r="G48" s="80" t="n"/>
      <c r="H48" s="80" t="n"/>
      <c r="I48" s="80" t="n"/>
      <c r="J48" s="80" t="n"/>
      <c r="K48" s="126" t="inlineStr">
        <is>
          <t>Site VH</t>
        </is>
      </c>
      <c r="L48" s="249" t="n"/>
      <c r="M48" s="80" t="n"/>
      <c r="N48" s="126" t="inlineStr">
        <is>
          <t>Site VH2</t>
        </is>
      </c>
      <c r="O48" s="249" t="n"/>
      <c r="P48" s="249" t="n"/>
      <c r="Q48" s="80" t="n"/>
      <c r="R48" s="80" t="n"/>
      <c r="S48" s="80" t="n"/>
      <c r="T48" s="80" t="n"/>
      <c r="U48" s="80" t="n"/>
      <c r="V48" s="80" t="n"/>
      <c r="W48" s="80" t="n"/>
      <c r="X48" s="80" t="n"/>
    </row>
    <row r="49" ht="18" customHeight="1">
      <c r="A49" s="80" t="n"/>
      <c r="B49" s="80" t="n"/>
      <c r="C49" s="80" t="n"/>
      <c r="D49" s="80" t="n"/>
      <c r="E49" s="80" t="n"/>
      <c r="F49" s="80" t="n"/>
      <c r="G49" s="80" t="n"/>
      <c r="H49" s="80" t="n"/>
      <c r="I49" s="80" t="n"/>
      <c r="J49" s="80" t="n"/>
      <c r="K49" s="134" t="n"/>
      <c r="L49" s="135" t="inlineStr">
        <is>
          <t>Cleanness</t>
        </is>
      </c>
      <c r="M49" s="80" t="n"/>
      <c r="N49" s="134" t="n"/>
      <c r="O49" s="135" t="inlineStr">
        <is>
          <t>Cleanness</t>
        </is>
      </c>
      <c r="P49" s="127" t="n"/>
      <c r="Q49" s="80" t="n"/>
      <c r="R49" s="80" t="n"/>
      <c r="S49" s="80" t="n"/>
      <c r="T49" s="80" t="n"/>
      <c r="U49" s="80" t="n"/>
      <c r="V49" s="80" t="n"/>
      <c r="W49" s="80" t="n"/>
      <c r="X49" s="80" t="n"/>
    </row>
    <row r="50" ht="18" customHeight="1">
      <c r="A50" s="80" t="n"/>
      <c r="B50" s="80" t="n"/>
      <c r="C50" s="80" t="n"/>
      <c r="D50" s="80" t="n"/>
      <c r="E50" s="80" t="n"/>
      <c r="F50" s="80" t="n"/>
      <c r="G50" s="80" t="n"/>
      <c r="H50" s="80" t="n"/>
      <c r="I50" s="80" t="n"/>
      <c r="J50" s="80" t="n"/>
      <c r="K50" s="139" t="n"/>
      <c r="L50" s="135" t="inlineStr">
        <is>
          <t>Over cement</t>
        </is>
      </c>
      <c r="M50" s="80" t="n"/>
      <c r="N50" s="141" t="n"/>
      <c r="O50" s="135" t="inlineStr">
        <is>
          <t>Thread end</t>
        </is>
      </c>
      <c r="P50" s="127" t="n"/>
      <c r="Q50" s="80" t="n"/>
      <c r="R50" s="80" t="n"/>
      <c r="S50" s="80" t="n"/>
      <c r="T50" s="80" t="n"/>
      <c r="U50" s="80" t="n"/>
      <c r="V50" s="80" t="n"/>
      <c r="W50" s="80" t="n"/>
      <c r="X50" s="80" t="n"/>
    </row>
    <row r="51" ht="18" customHeight="1">
      <c r="A51" s="80" t="n"/>
      <c r="B51" s="80" t="n"/>
      <c r="C51" s="80" t="n"/>
      <c r="D51" s="80" t="n"/>
      <c r="E51" s="80" t="n"/>
      <c r="F51" s="80" t="n"/>
      <c r="G51" s="80" t="n"/>
      <c r="H51" s="80" t="n"/>
      <c r="I51" s="80" t="n"/>
      <c r="J51" s="80" t="n"/>
      <c r="K51" s="250" t="n"/>
      <c r="L51" s="135" t="inlineStr">
        <is>
          <t>Rocking</t>
        </is>
      </c>
      <c r="M51" s="80" t="n"/>
      <c r="N51" s="139" t="n"/>
      <c r="O51" s="135" t="inlineStr">
        <is>
          <t>Over cement</t>
        </is>
      </c>
      <c r="P51" s="127" t="n"/>
      <c r="Q51" s="80" t="n"/>
      <c r="R51" s="80" t="n"/>
      <c r="S51" s="80" t="n"/>
      <c r="T51" s="80" t="n"/>
      <c r="U51" s="80" t="n"/>
      <c r="V51" s="80" t="n"/>
      <c r="W51" s="80" t="n"/>
      <c r="X51" s="80" t="n"/>
    </row>
    <row r="52" ht="18" customHeight="1">
      <c r="A52" s="80" t="n"/>
      <c r="B52" s="80" t="n"/>
      <c r="C52" s="80" t="n"/>
      <c r="D52" s="80" t="n"/>
      <c r="E52" s="80" t="n"/>
      <c r="F52" s="80" t="n"/>
      <c r="G52" s="80" t="n"/>
      <c r="H52" s="80" t="n"/>
      <c r="I52" s="80" t="n"/>
      <c r="J52" s="80" t="n"/>
      <c r="K52" s="141" t="n"/>
      <c r="L52" s="135" t="inlineStr">
        <is>
          <t>Thread end</t>
        </is>
      </c>
      <c r="M52" s="80" t="n"/>
      <c r="N52" s="251" t="n"/>
      <c r="O52" s="135" t="inlineStr">
        <is>
          <t>Airbag quality/stain</t>
        </is>
      </c>
      <c r="P52" s="127" t="n"/>
      <c r="Q52" s="80" t="n"/>
      <c r="R52" s="80" t="n"/>
      <c r="S52" s="80" t="n"/>
      <c r="T52" s="80" t="n"/>
      <c r="U52" s="80" t="n"/>
      <c r="V52" s="80" t="n"/>
      <c r="W52" s="80" t="n"/>
      <c r="X52" s="80" t="n"/>
    </row>
    <row r="53" ht="18" customHeight="1">
      <c r="A53" s="80" t="n"/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  <c r="K53" s="252" t="n"/>
      <c r="L53" s="135" t="inlineStr">
        <is>
          <t>Components inconsistent</t>
        </is>
      </c>
      <c r="M53" s="80" t="n"/>
      <c r="N53" s="253" t="n"/>
      <c r="O53" s="135" t="inlineStr">
        <is>
          <t>Midsole/Outsole to upper bond gap</t>
        </is>
      </c>
      <c r="P53" s="127" t="n"/>
      <c r="Q53" s="80" t="n"/>
      <c r="R53" s="80" t="n"/>
      <c r="S53" s="80" t="n"/>
      <c r="T53" s="80" t="n"/>
      <c r="U53" s="80" t="n"/>
      <c r="V53" s="80" t="n"/>
      <c r="W53" s="80" t="n"/>
      <c r="X53" s="80" t="n"/>
    </row>
    <row r="54" ht="18" customHeight="1">
      <c r="A54" s="80" t="n"/>
      <c r="B54" s="80" t="n"/>
      <c r="C54" s="80" t="n"/>
      <c r="D54" s="80" t="n"/>
      <c r="E54" s="80" t="n"/>
      <c r="F54" s="80" t="n"/>
      <c r="G54" s="80" t="n"/>
      <c r="H54" s="80" t="n"/>
      <c r="I54" s="80" t="n"/>
      <c r="J54" s="80" t="n"/>
      <c r="K54" s="253" t="n"/>
      <c r="L54" s="135" t="inlineStr">
        <is>
          <t>Midsole/Outsole to upper bond gap</t>
        </is>
      </c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  <c r="W54" s="80" t="n"/>
      <c r="X54" s="80" t="n"/>
    </row>
    <row r="55" ht="16" customHeight="1">
      <c r="A55" s="80" t="n"/>
      <c r="B55" s="80" t="n"/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  <c r="W55" s="80" t="n"/>
      <c r="X55" s="80" t="n"/>
    </row>
    <row r="56" ht="20" customHeight="1">
      <c r="A56" s="80" t="n"/>
      <c r="B56" s="80" t="n"/>
      <c r="C56" s="80" t="n"/>
      <c r="D56" s="80" t="n"/>
      <c r="E56" s="80" t="n"/>
      <c r="F56" s="80" t="n"/>
      <c r="G56" s="80" t="n"/>
      <c r="H56" s="80" t="n"/>
      <c r="I56" s="80" t="n"/>
      <c r="J56" s="80" t="n"/>
      <c r="K56" s="126" t="inlineStr">
        <is>
          <t>Site JV</t>
        </is>
      </c>
      <c r="L56" s="249" t="n"/>
      <c r="M56" s="80" t="n"/>
      <c r="N56" s="126" t="inlineStr">
        <is>
          <t>Site JV2</t>
        </is>
      </c>
      <c r="O56" s="249" t="n"/>
      <c r="P56" s="249" t="n"/>
      <c r="Q56" s="80" t="n"/>
      <c r="R56" s="80" t="n"/>
      <c r="S56" s="80" t="n"/>
      <c r="T56" s="80" t="n"/>
      <c r="U56" s="80" t="n"/>
      <c r="V56" s="80" t="n"/>
      <c r="W56" s="80" t="n"/>
      <c r="X56" s="80" t="n"/>
    </row>
    <row r="57" ht="18" customHeight="1">
      <c r="A57" s="80" t="n"/>
      <c r="B57" s="80" t="n"/>
      <c r="C57" s="80" t="n"/>
      <c r="D57" s="80" t="n"/>
      <c r="E57" s="80" t="n"/>
      <c r="F57" s="80" t="n"/>
      <c r="G57" s="80" t="n"/>
      <c r="H57" s="80" t="n"/>
      <c r="I57" s="80" t="n"/>
      <c r="J57" s="80" t="n"/>
      <c r="K57" s="134" t="n"/>
      <c r="L57" s="135" t="inlineStr">
        <is>
          <t>Cleanness</t>
        </is>
      </c>
      <c r="M57" s="80" t="n"/>
      <c r="N57" s="134" t="n"/>
      <c r="O57" s="135" t="inlineStr">
        <is>
          <t>Cleanness</t>
        </is>
      </c>
      <c r="P57" s="127" t="n"/>
      <c r="Q57" s="80" t="n"/>
      <c r="R57" s="80" t="n"/>
      <c r="S57" s="80" t="n"/>
      <c r="T57" s="80" t="n"/>
      <c r="U57" s="80" t="n"/>
      <c r="V57" s="80" t="n"/>
      <c r="W57" s="80" t="n"/>
      <c r="X57" s="80" t="n"/>
    </row>
    <row r="58" ht="18" customHeight="1">
      <c r="A58" s="80" t="n"/>
      <c r="B58" s="80" t="n"/>
      <c r="C58" s="80" t="n"/>
      <c r="D58" s="80" t="n"/>
      <c r="E58" s="80" t="n"/>
      <c r="F58" s="80" t="n"/>
      <c r="G58" s="80" t="n"/>
      <c r="H58" s="80" t="n"/>
      <c r="I58" s="80" t="n"/>
      <c r="J58" s="80" t="n"/>
      <c r="K58" s="139" t="n"/>
      <c r="L58" s="135" t="inlineStr">
        <is>
          <t>Over cement</t>
        </is>
      </c>
      <c r="M58" s="80" t="n"/>
      <c r="N58" s="139" t="n"/>
      <c r="O58" s="135" t="inlineStr">
        <is>
          <t>Over cement</t>
        </is>
      </c>
      <c r="P58" s="127" t="n"/>
      <c r="Q58" s="80" t="n"/>
      <c r="R58" s="80" t="n"/>
      <c r="S58" s="80" t="n"/>
      <c r="T58" s="80" t="n"/>
      <c r="U58" s="80" t="n"/>
      <c r="V58" s="80" t="n"/>
      <c r="W58" s="80" t="n"/>
      <c r="X58" s="80" t="n"/>
    </row>
    <row r="59" ht="18" customHeight="1">
      <c r="A59" s="80" t="n"/>
      <c r="B59" s="80" t="n"/>
      <c r="C59" s="80" t="n"/>
      <c r="D59" s="80" t="n"/>
      <c r="E59" s="80" t="n"/>
      <c r="F59" s="80" t="n"/>
      <c r="G59" s="80" t="n"/>
      <c r="H59" s="80" t="n"/>
      <c r="I59" s="80" t="n"/>
      <c r="J59" s="80" t="n"/>
      <c r="K59" s="141" t="n"/>
      <c r="L59" s="135" t="inlineStr">
        <is>
          <t>Thread end</t>
        </is>
      </c>
      <c r="M59" s="80" t="n"/>
      <c r="N59" s="141" t="n"/>
      <c r="O59" s="135" t="inlineStr">
        <is>
          <t>Thread end</t>
        </is>
      </c>
      <c r="P59" s="127" t="n"/>
      <c r="Q59" s="80" t="n"/>
      <c r="R59" s="80" t="n"/>
      <c r="S59" s="80" t="n"/>
      <c r="T59" s="80" t="n"/>
      <c r="U59" s="80" t="n"/>
      <c r="V59" s="80" t="n"/>
      <c r="W59" s="80" t="n"/>
      <c r="X59" s="80" t="n"/>
    </row>
    <row r="60" ht="18" customHeight="1">
      <c r="A60" s="80" t="n"/>
      <c r="B60" s="80" t="n"/>
      <c r="C60" s="80" t="n"/>
      <c r="D60" s="80" t="n"/>
      <c r="E60" s="80" t="n"/>
      <c r="F60" s="80" t="n"/>
      <c r="G60" s="80" t="n"/>
      <c r="H60" s="80" t="n"/>
      <c r="I60" s="80" t="n"/>
      <c r="J60" s="80" t="n"/>
      <c r="K60" s="254" t="n"/>
      <c r="L60" s="135" t="inlineStr">
        <is>
          <t>Sole attachment</t>
        </is>
      </c>
      <c r="M60" s="80" t="n"/>
      <c r="N60" s="255" t="n"/>
      <c r="O60" s="135" t="inlineStr">
        <is>
          <t>Toe off center</t>
        </is>
      </c>
      <c r="P60" s="127" t="n"/>
      <c r="Q60" s="80" t="n"/>
      <c r="R60" s="80" t="n"/>
      <c r="S60" s="80" t="n"/>
      <c r="T60" s="80" t="n"/>
      <c r="U60" s="80" t="n"/>
      <c r="V60" s="80" t="n"/>
      <c r="W60" s="80" t="n"/>
      <c r="X60" s="80" t="n"/>
    </row>
    <row r="61" ht="18" customHeight="1">
      <c r="A61" s="80" t="n"/>
      <c r="B61" s="80" t="n"/>
      <c r="C61" s="80" t="n"/>
      <c r="D61" s="80" t="n"/>
      <c r="E61" s="80" t="n"/>
      <c r="F61" s="80" t="n"/>
      <c r="G61" s="80" t="n"/>
      <c r="H61" s="80" t="n"/>
      <c r="I61" s="80" t="n"/>
      <c r="J61" s="80" t="n"/>
      <c r="K61" s="80" t="n"/>
      <c r="L61" s="80" t="n"/>
      <c r="M61" s="80" t="n"/>
      <c r="N61" s="256" t="n"/>
      <c r="O61" s="135" t="inlineStr">
        <is>
          <t>Heel/Tip height inconsistent</t>
        </is>
      </c>
      <c r="P61" s="127" t="n"/>
      <c r="Q61" s="80" t="n"/>
      <c r="R61" s="80" t="n"/>
      <c r="S61" s="80" t="n"/>
      <c r="T61" s="80" t="n"/>
      <c r="U61" s="80" t="n"/>
      <c r="V61" s="80" t="n"/>
      <c r="W61" s="80" t="n"/>
      <c r="X61" s="80" t="n"/>
    </row>
    <row r="62" ht="18" customHeight="1">
      <c r="A62" s="80" t="n"/>
      <c r="B62" s="80" t="n"/>
      <c r="C62" s="80" t="n"/>
      <c r="D62" s="80" t="n"/>
      <c r="E62" s="80" t="n"/>
      <c r="F62" s="80" t="n"/>
      <c r="G62" s="80" t="n"/>
      <c r="H62" s="80" t="n"/>
      <c r="I62" s="80" t="n"/>
      <c r="J62" s="80" t="n"/>
      <c r="K62" s="80" t="n"/>
      <c r="L62" s="80" t="n"/>
      <c r="M62" s="80" t="n"/>
      <c r="N62" s="250" t="n"/>
      <c r="O62" s="135" t="inlineStr">
        <is>
          <t>Rocking</t>
        </is>
      </c>
      <c r="P62" s="127" t="n"/>
      <c r="Q62" s="80" t="n"/>
      <c r="R62" s="80" t="n"/>
      <c r="S62" s="80" t="n"/>
      <c r="T62" s="80" t="n"/>
      <c r="U62" s="80" t="n"/>
      <c r="V62" s="80" t="n"/>
      <c r="W62" s="80" t="n"/>
      <c r="X62" s="80" t="n"/>
    </row>
    <row r="63" ht="16" customHeight="1">
      <c r="A63" s="80" t="n"/>
      <c r="B63" s="80" t="n"/>
      <c r="C63" s="80" t="n"/>
      <c r="D63" s="80" t="n"/>
      <c r="E63" s="80" t="n"/>
      <c r="F63" s="80" t="n"/>
      <c r="G63" s="80" t="n"/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0" t="n"/>
      <c r="W63" s="80" t="n"/>
      <c r="X63" s="80" t="n"/>
    </row>
    <row r="64" ht="16" customHeight="1">
      <c r="A64" s="80" t="n"/>
      <c r="B64" s="80" t="n"/>
      <c r="C64" s="80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0" t="n"/>
      <c r="W64" s="80" t="n"/>
      <c r="X64" s="80" t="n"/>
    </row>
    <row r="65" ht="16" customHeight="1">
      <c r="A65" s="80" t="n"/>
      <c r="B65" s="80" t="n"/>
      <c r="C65" s="80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0" t="n"/>
      <c r="W65" s="80" t="n"/>
      <c r="X65" s="80" t="n"/>
    </row>
  </sheetData>
  <mergeCells count="23">
    <mergeCell ref="C40:C44"/>
    <mergeCell ref="O53:P53"/>
    <mergeCell ref="N48:P48"/>
    <mergeCell ref="O49:P49"/>
    <mergeCell ref="C28:C32"/>
    <mergeCell ref="K28:K32"/>
    <mergeCell ref="K56:L56"/>
    <mergeCell ref="C34:C38"/>
    <mergeCell ref="K34:K38"/>
    <mergeCell ref="O59:P59"/>
    <mergeCell ref="O50:P50"/>
    <mergeCell ref="O51:P51"/>
    <mergeCell ref="O62:P62"/>
    <mergeCell ref="O61:P61"/>
    <mergeCell ref="O58:P58"/>
    <mergeCell ref="K48:L48"/>
    <mergeCell ref="O52:P52"/>
    <mergeCell ref="O60:P60"/>
    <mergeCell ref="N56:P56"/>
    <mergeCell ref="O57:P57"/>
    <mergeCell ref="C22:C26"/>
    <mergeCell ref="K22:K26"/>
    <mergeCell ref="K40:K4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Tran, Phi Hung</dc:creator>
  <dcterms:created xmlns:dcterms="http://purl.org/dc/terms/" xmlns:xsi="http://www.w3.org/2001/XMLSchema-instance" xsi:type="dcterms:W3CDTF">2026-01-27T02:56:00Z</dcterms:created>
  <dcterms:modified xmlns:dcterms="http://purl.org/dc/terms/" xmlns:xsi="http://www.w3.org/2001/XMLSchema-instance" xsi:type="dcterms:W3CDTF">2026-09-24T01:17:34Z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15B4BAD5E4DA4445AF675C7AF0C34DA6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